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ABC_XYZ_MASTER" sheetId="2" state="visible" r:id="rId2"/>
    <sheet xmlns:r="http://schemas.openxmlformats.org/officeDocument/2006/relationships" name="SBA_ENGINE" sheetId="3" state="visible" r:id="rId3"/>
    <sheet xmlns:r="http://schemas.openxmlformats.org/officeDocument/2006/relationships" name="SAFETY_STOCK_v2" sheetId="4" state="visible" r:id="rId4"/>
    <sheet xmlns:r="http://schemas.openxmlformats.org/officeDocument/2006/relationships" name="SERVICE_LEVEL_OPTIMIZER" sheetId="5" state="visible" r:id="rId5"/>
    <sheet xmlns:r="http://schemas.openxmlformats.org/officeDocument/2006/relationships" name="SMOB_DISPOSITION" sheetId="6" state="visible" r:id="rId6"/>
    <sheet xmlns:r="http://schemas.openxmlformats.org/officeDocument/2006/relationships" name="ECANTER_CAUSAL" sheetId="7" state="visible" r:id="rId7"/>
    <sheet xmlns:r="http://schemas.openxmlformats.org/officeDocument/2006/relationships" name="GPC_BRIDGE_STOCK" sheetId="8" state="visible" r:id="rId8"/>
    <sheet xmlns:r="http://schemas.openxmlformats.org/officeDocument/2006/relationships" name="SOP_TEMPLATE" sheetId="9" state="visible" r:id="rId9"/>
    <sheet xmlns:r="http://schemas.openxmlformats.org/officeDocument/2006/relationships" name="MONTHLY_DEMAND_DATA" sheetId="10" state="visible" r:id="rId10"/>
    <sheet xmlns:r="http://schemas.openxmlformats.org/officeDocument/2006/relationships" name="CALC_EXPLAINER" sheetId="11" state="visible" r:id="rId11"/>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00"/>
    <numFmt numFmtId="167" formatCode="0.00x"/>
    <numFmt numFmtId="168" formatCode="+#,##0;-#,##0;0"/>
    <numFmt numFmtId="169" formatCode="0.000"/>
  </numFmts>
  <fonts count="41">
    <font>
      <name val="Calibri"/>
      <family val="2"/>
      <color theme="1"/>
      <sz val="11"/>
      <scheme val="minor"/>
    </font>
    <font>
      <name val="Calibri"/>
      <b val="1"/>
      <color rgb="00FFFFFF"/>
      <sz val="18"/>
    </font>
    <font>
      <name val="Calibri"/>
      <b val="1"/>
      <color rgb="00FFFFFF"/>
      <sz val="11"/>
    </font>
    <font>
      <name val="Calibri"/>
      <b val="1"/>
      <color rgb="00FFFFFF"/>
      <sz val="10"/>
    </font>
    <font>
      <name val="Calibri"/>
      <color rgb="001F1F1F"/>
      <sz val="10"/>
    </font>
    <font>
      <name val="Calibri"/>
      <b val="1"/>
      <color rgb="00FFFFFF"/>
      <sz val="9"/>
    </font>
    <font>
      <name val="Calibri"/>
      <b val="1"/>
      <color rgb="001F1F1F"/>
      <sz val="10"/>
    </font>
    <font>
      <name val="Calibri"/>
      <b val="1"/>
      <color rgb="00FFFFFF"/>
      <sz val="13"/>
    </font>
    <font>
      <b val="1"/>
      <sz val="9"/>
    </font>
    <font>
      <name val="Calibri"/>
      <color rgb="001F1F1F"/>
      <sz val="9"/>
    </font>
    <font>
      <name val="Calibri"/>
      <b val="1"/>
      <color rgb="00FFFFFF"/>
      <sz val="14"/>
    </font>
    <font>
      <name val="Calibri"/>
      <b val="1"/>
      <color rgb="00FFFFFF"/>
      <sz val="8"/>
    </font>
    <font>
      <name val="Calibri"/>
      <b val="1"/>
      <color rgb="001B2A4A"/>
      <sz val="10"/>
    </font>
    <font>
      <name val="Courier New"/>
      <color rgb="001F1F1F"/>
      <sz val="10"/>
    </font>
    <font>
      <name val="Calibri"/>
      <b val="1"/>
      <color rgb="00E4002B"/>
      <sz val="11"/>
    </font>
    <font>
      <name val="Calibri"/>
      <b val="1"/>
      <color rgb="001F1F1F"/>
      <sz val="9"/>
    </font>
    <font>
      <b val="1"/>
      <color rgb="001B2A4A"/>
      <sz val="12"/>
    </font>
    <font>
      <b val="1"/>
      <color rgb="00E4002B"/>
      <sz val="12"/>
    </font>
    <font>
      <b val="1"/>
      <color rgb="001B2A4A"/>
      <sz val="11"/>
    </font>
    <font>
      <b val="1"/>
      <color rgb="0000B050"/>
      <sz val="14"/>
    </font>
    <font>
      <b val="1"/>
      <color rgb="001F1F1F"/>
      <sz val="9"/>
    </font>
    <font>
      <name val="Calibri"/>
      <color rgb="00E4002B"/>
      <sz val="9"/>
    </font>
    <font>
      <color rgb="001F1F1F"/>
      <sz val="9"/>
    </font>
    <font>
      <name val="Calibri"/>
      <b val="1"/>
      <color rgb="001B2A4A"/>
      <sz val="12"/>
    </font>
    <font>
      <name val="Calibri"/>
      <i val="1"/>
      <color rgb="00FFFFFF"/>
      <sz val="10"/>
    </font>
    <font>
      <b val="1"/>
      <color rgb="00E4002B"/>
      <sz val="9"/>
    </font>
    <font>
      <b val="1"/>
      <color rgb="00FFFFFF"/>
      <sz val="9"/>
    </font>
    <font>
      <name val="Calibri"/>
      <b val="1"/>
      <color rgb="00000000"/>
      <sz val="9"/>
    </font>
    <font>
      <name val="Calibri"/>
      <color rgb="00000000"/>
      <sz val="9"/>
    </font>
    <font>
      <name val="Calibri"/>
      <color rgb="00566573"/>
      <sz val="9"/>
    </font>
    <font>
      <name val="Calibri"/>
      <b val="1"/>
      <color rgb="00000000"/>
      <sz val="10"/>
    </font>
    <font>
      <name val="Calibri"/>
      <color rgb="00000000"/>
      <sz val="10"/>
    </font>
    <font>
      <name val="Calibri"/>
      <b val="1"/>
      <color rgb="001E8449"/>
      <sz val="10"/>
    </font>
    <font>
      <name val="Calibri"/>
      <b val="1"/>
      <color rgb="001A5276"/>
      <sz val="9"/>
    </font>
    <font>
      <name val="Calibri"/>
      <b val="1"/>
      <color rgb="00FFFFFF"/>
      <sz val="15"/>
    </font>
    <font>
      <name val="Calibri"/>
      <i val="1"/>
      <color rgb="00A9CCE3"/>
      <sz val="10"/>
    </font>
    <font>
      <name val="Calibri"/>
      <b val="1"/>
      <color rgb="00FFFFFF"/>
      <sz val="12"/>
    </font>
    <font>
      <name val="Calibri"/>
      <color rgb="001A5276"/>
      <sz val="9"/>
    </font>
    <font>
      <name val="Calibri"/>
      <color rgb="001E8449"/>
      <sz val="9"/>
    </font>
    <font>
      <name val="Calibri"/>
      <b val="1"/>
      <color rgb="00E67E22"/>
      <sz val="9"/>
    </font>
    <font>
      <name val="Calibri"/>
      <color rgb="00FFFFFF"/>
      <sz val="10"/>
    </font>
  </fonts>
  <fills count="39">
    <fill>
      <patternFill/>
    </fill>
    <fill>
      <patternFill patternType="gray125"/>
    </fill>
    <fill>
      <patternFill patternType="solid">
        <fgColor rgb="001B2A4A"/>
      </patternFill>
    </fill>
    <fill>
      <patternFill patternType="solid">
        <fgColor rgb="001B6A2A"/>
      </patternFill>
    </fill>
    <fill>
      <patternFill patternType="solid">
        <fgColor rgb="00E4002B"/>
      </patternFill>
    </fill>
    <fill>
      <patternFill patternType="solid">
        <fgColor rgb="000070C0"/>
      </patternFill>
    </fill>
    <fill>
      <patternFill patternType="solid">
        <fgColor rgb="0000B050"/>
      </patternFill>
    </fill>
    <fill>
      <patternFill patternType="solid">
        <fgColor rgb="00808080"/>
      </patternFill>
    </fill>
    <fill>
      <patternFill patternType="solid">
        <fgColor rgb="00F2F2F2"/>
      </patternFill>
    </fill>
    <fill>
      <patternFill patternType="solid">
        <fgColor rgb="00FFFFFF"/>
      </patternFill>
    </fill>
    <fill>
      <patternFill patternType="solid">
        <fgColor rgb="0092D050"/>
      </patternFill>
    </fill>
    <fill>
      <patternFill patternType="solid">
        <fgColor rgb="00C6EFCE"/>
      </patternFill>
    </fill>
    <fill>
      <patternFill patternType="solid">
        <fgColor rgb="00FFBF00"/>
      </patternFill>
    </fill>
    <fill>
      <patternFill patternType="solid">
        <fgColor rgb="00FFD966"/>
      </patternFill>
    </fill>
    <fill>
      <patternFill patternType="solid">
        <fgColor rgb="00F4B942"/>
      </patternFill>
    </fill>
    <fill>
      <patternFill patternType="solid">
        <fgColor rgb="00F4CCAA"/>
      </patternFill>
    </fill>
    <fill>
      <patternFill patternType="solid">
        <fgColor rgb="00FA8072"/>
      </patternFill>
    </fill>
    <fill>
      <patternFill patternType="solid">
        <fgColor rgb="00FF6B6B"/>
      </patternFill>
    </fill>
    <fill>
      <patternFill patternType="solid">
        <fgColor rgb="00BDD7EE"/>
      </patternFill>
    </fill>
    <fill>
      <patternFill patternType="solid">
        <fgColor rgb="00E2EFDA"/>
      </patternFill>
    </fill>
    <fill>
      <patternFill patternType="solid">
        <fgColor rgb="00FCE4D6"/>
      </patternFill>
    </fill>
    <fill>
      <patternFill patternType="solid">
        <fgColor rgb="00FF8C00"/>
      </patternFill>
    </fill>
    <fill>
      <patternFill patternType="solid">
        <fgColor rgb="00FFC7CE"/>
      </patternFill>
    </fill>
    <fill>
      <patternFill patternType="solid">
        <fgColor rgb="00FFEB9C"/>
      </patternFill>
    </fill>
    <fill>
      <patternFill patternType="solid">
        <fgColor rgb="00F2F7FF"/>
      </patternFill>
    </fill>
    <fill>
      <patternFill patternType="solid">
        <fgColor rgb="00F5F5F5"/>
      </patternFill>
    </fill>
    <fill>
      <patternFill patternType="solid">
        <fgColor rgb="000D1B2A"/>
      </patternFill>
    </fill>
    <fill>
      <patternFill patternType="solid">
        <fgColor rgb="001B2E45"/>
      </patternFill>
    </fill>
    <fill>
      <patternFill patternType="solid">
        <fgColor rgb="001A5276"/>
      </patternFill>
    </fill>
    <fill>
      <patternFill patternType="solid">
        <fgColor rgb="00C0392B"/>
      </patternFill>
    </fill>
    <fill>
      <patternFill patternType="solid">
        <fgColor rgb="001E8449"/>
      </patternFill>
    </fill>
    <fill>
      <patternFill patternType="solid">
        <fgColor rgb="00148F77"/>
      </patternFill>
    </fill>
    <fill>
      <patternFill patternType="solid">
        <fgColor rgb="00D6EAF8"/>
      </patternFill>
    </fill>
    <fill>
      <patternFill patternType="solid">
        <fgColor rgb="00D0ECE7"/>
      </patternFill>
    </fill>
    <fill>
      <patternFill patternType="solid">
        <fgColor rgb="00FADBD8"/>
      </patternFill>
    </fill>
    <fill>
      <patternFill patternType="solid">
        <fgColor rgb="00D5F5E3"/>
      </patternFill>
    </fill>
    <fill>
      <patternFill patternType="solid">
        <fgColor rgb="00F2F3F4"/>
      </patternFill>
    </fill>
    <fill>
      <patternFill patternType="solid">
        <fgColor rgb="00FDEBD0"/>
      </patternFill>
    </fill>
    <fill>
      <patternFill patternType="solid">
        <fgColor rgb="00E67E22"/>
      </patternFill>
    </fill>
  </fills>
  <borders count="20">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top style="thin">
        <color rgb="00AAAAAA"/>
      </top>
      <bottom style="thin">
        <color rgb="00AAAAAA"/>
      </bottom>
      <diagonal/>
    </border>
    <border>
      <left/>
      <right style="thin">
        <color rgb="00AAAAAA"/>
      </right>
      <top style="thin">
        <color rgb="00AAAAAA"/>
      </top>
      <bottom style="thin">
        <color rgb="00AAAAAA"/>
      </bottom>
      <diagonal/>
    </border>
    <border>
      <left style="thick">
        <color rgb="00E4002B"/>
      </left>
      <right style="thick">
        <color rgb="00E4002B"/>
      </right>
      <top style="thick">
        <color rgb="00E4002B"/>
      </top>
      <bottom style="thick">
        <color rgb="00E4002B"/>
      </bottom>
    </border>
    <border>
      <left/>
      <right/>
      <top style="thick">
        <color rgb="00E4002B"/>
      </top>
      <bottom/>
      <diagonal/>
    </border>
    <border>
      <left/>
      <right style="thick">
        <color rgb="00E4002B"/>
      </right>
      <top style="thick">
        <color rgb="00E4002B"/>
      </top>
      <bottom/>
      <diagonal/>
    </border>
    <border>
      <left/>
      <right/>
      <top style="thick">
        <color rgb="00E4002B"/>
      </top>
      <bottom style="thick">
        <color rgb="00E4002B"/>
      </bottom>
      <diagonal/>
    </border>
    <border>
      <left/>
      <right style="thick">
        <color rgb="00E4002B"/>
      </right>
      <top style="thick">
        <color rgb="00E4002B"/>
      </top>
      <bottom style="thick">
        <color rgb="00E4002B"/>
      </bottom>
      <diagonal/>
    </border>
    <border>
      <left style="thin">
        <color rgb="004A6274"/>
      </left>
      <right style="thin">
        <color rgb="004A6274"/>
      </right>
      <top style="thin">
        <color rgb="004A6274"/>
      </top>
      <bottom style="thin">
        <color rgb="004A6274"/>
      </bottom>
    </border>
    <border>
      <left style="thin">
        <color rgb="00D5D8DC"/>
      </left>
      <right style="thin">
        <color rgb="00D5D8DC"/>
      </right>
      <top style="thin">
        <color rgb="00D5D8DC"/>
      </top>
      <bottom style="thin">
        <color rgb="00D5D8DC"/>
      </bottom>
    </border>
    <border>
      <left style="thin">
        <color rgb="001ABC9C"/>
      </left>
      <right style="thin">
        <color rgb="001ABC9C"/>
      </right>
      <top style="thin">
        <color rgb="001ABC9C"/>
      </top>
      <bottom style="thin">
        <color rgb="001ABC9C"/>
      </bottom>
    </border>
    <border>
      <left style="thin">
        <color rgb="00E74C3C"/>
      </left>
      <right style="thin">
        <color rgb="00E74C3C"/>
      </right>
      <top style="thin">
        <color rgb="00E74C3C"/>
      </top>
      <bottom style="thin">
        <color rgb="00E74C3C"/>
      </bottom>
    </border>
    <border>
      <left style="thin">
        <color rgb="001E8449"/>
      </left>
      <right style="thin">
        <color rgb="001E8449"/>
      </right>
      <top style="thin">
        <color rgb="001E8449"/>
      </top>
      <bottom style="thin">
        <color rgb="001E8449"/>
      </bottom>
    </border>
    <border>
      <left style="thin">
        <color rgb="00148F77"/>
      </left>
      <right style="thin">
        <color rgb="00148F77"/>
      </right>
      <top style="thin">
        <color rgb="00148F77"/>
      </top>
      <bottom style="thin">
        <color rgb="00148F77"/>
      </bottom>
    </border>
    <border>
      <left style="thin">
        <color rgb="00BDC3C7"/>
      </left>
      <right style="thin">
        <color rgb="00BDC3C7"/>
      </right>
      <top style="thin">
        <color rgb="00BDC3C7"/>
      </top>
      <bottom style="thin">
        <color rgb="00BDC3C7"/>
      </bottom>
    </border>
    <border>
      <left style="thin">
        <color rgb="00E67E22"/>
      </left>
      <right style="thin">
        <color rgb="00E67E22"/>
      </right>
      <top style="thin">
        <color rgb="00E67E22"/>
      </top>
      <bottom style="thin">
        <color rgb="00E67E22"/>
      </bottom>
    </border>
    <border>
      <left style="thin">
        <color rgb="002980B9"/>
      </left>
      <right style="thin">
        <color rgb="002980B9"/>
      </right>
      <top style="thin">
        <color rgb="002980B9"/>
      </top>
      <bottom style="thin">
        <color rgb="002980B9"/>
      </bottom>
    </border>
  </borders>
  <cellStyleXfs count="1">
    <xf numFmtId="0" fontId="0" fillId="0" borderId="0"/>
  </cellStyleXfs>
  <cellXfs count="211">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xf>
    <xf numFmtId="0" fontId="0" fillId="0" borderId="4" pivotButton="0" quotePrefix="0" xfId="0"/>
    <xf numFmtId="0" fontId="0" fillId="0" borderId="5"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2"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4" fillId="8" borderId="1" applyAlignment="1" pivotButton="0" quotePrefix="0" xfId="0">
      <alignment horizontal="center" vertical="center"/>
    </xf>
    <xf numFmtId="0" fontId="4" fillId="9" borderId="1" applyAlignment="1" pivotButton="0" quotePrefix="0" xfId="0">
      <alignment horizontal="center" vertical="center"/>
    </xf>
    <xf numFmtId="0" fontId="5" fillId="2"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11" borderId="1" applyAlignment="1" pivotButton="0" quotePrefix="0" xfId="0">
      <alignment horizontal="center" vertical="center" wrapText="1"/>
    </xf>
    <xf numFmtId="0" fontId="6"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6" fillId="16" borderId="1" applyAlignment="1" pivotButton="0" quotePrefix="0" xfId="0">
      <alignment horizontal="center" vertical="center" wrapText="1"/>
    </xf>
    <xf numFmtId="0" fontId="6" fillId="17"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0" pivotButton="0" quotePrefix="0" xfId="0"/>
    <xf numFmtId="0" fontId="9" fillId="10" borderId="1" applyAlignment="1" pivotButton="0" quotePrefix="0" xfId="0">
      <alignment horizontal="center" vertical="center"/>
    </xf>
    <xf numFmtId="4" fontId="9" fillId="10" borderId="1" applyAlignment="1" pivotButton="0" quotePrefix="0" xfId="0">
      <alignment horizontal="center" vertical="center"/>
    </xf>
    <xf numFmtId="3" fontId="9" fillId="10" borderId="1" applyAlignment="1" pivotButton="0" quotePrefix="0" xfId="0">
      <alignment horizontal="center" vertical="center"/>
    </xf>
    <xf numFmtId="10" fontId="9" fillId="10" borderId="1" applyAlignment="1" pivotButton="0" quotePrefix="0" xfId="0">
      <alignment horizontal="center" vertical="center"/>
    </xf>
    <xf numFmtId="2" fontId="9" fillId="10" borderId="1" applyAlignment="1" pivotButton="0" quotePrefix="0" xfId="0">
      <alignment horizontal="center" vertical="center"/>
    </xf>
    <xf numFmtId="0" fontId="9" fillId="11" borderId="1" applyAlignment="1" pivotButton="0" quotePrefix="0" xfId="0">
      <alignment horizontal="center" vertical="center"/>
    </xf>
    <xf numFmtId="4" fontId="9" fillId="11" borderId="1" applyAlignment="1" pivotButton="0" quotePrefix="0" xfId="0">
      <alignment horizontal="center" vertical="center"/>
    </xf>
    <xf numFmtId="3" fontId="9" fillId="11" borderId="1" applyAlignment="1" pivotButton="0" quotePrefix="0" xfId="0">
      <alignment horizontal="center" vertical="center"/>
    </xf>
    <xf numFmtId="10" fontId="9" fillId="11" borderId="1" applyAlignment="1" pivotButton="0" quotePrefix="0" xfId="0">
      <alignment horizontal="center" vertical="center"/>
    </xf>
    <xf numFmtId="2" fontId="9" fillId="11" borderId="1" applyAlignment="1" pivotButton="0" quotePrefix="0" xfId="0">
      <alignment horizontal="center" vertical="center"/>
    </xf>
    <xf numFmtId="0" fontId="9" fillId="13" borderId="1" applyAlignment="1" pivotButton="0" quotePrefix="0" xfId="0">
      <alignment horizontal="center" vertical="center"/>
    </xf>
    <xf numFmtId="4" fontId="9" fillId="13" borderId="1" applyAlignment="1" pivotButton="0" quotePrefix="0" xfId="0">
      <alignment horizontal="center" vertical="center"/>
    </xf>
    <xf numFmtId="3" fontId="9" fillId="13" borderId="1" applyAlignment="1" pivotButton="0" quotePrefix="0" xfId="0">
      <alignment horizontal="center" vertical="center"/>
    </xf>
    <xf numFmtId="10" fontId="9" fillId="13" borderId="1" applyAlignment="1" pivotButton="0" quotePrefix="0" xfId="0">
      <alignment horizontal="center" vertical="center"/>
    </xf>
    <xf numFmtId="2" fontId="9" fillId="13" borderId="1" applyAlignment="1" pivotButton="0" quotePrefix="0" xfId="0">
      <alignment horizontal="center" vertical="center"/>
    </xf>
    <xf numFmtId="0" fontId="9" fillId="14" borderId="1" applyAlignment="1" pivotButton="0" quotePrefix="0" xfId="0">
      <alignment horizontal="center" vertical="center"/>
    </xf>
    <xf numFmtId="4" fontId="9" fillId="14" borderId="1" applyAlignment="1" pivotButton="0" quotePrefix="0" xfId="0">
      <alignment horizontal="center" vertical="center"/>
    </xf>
    <xf numFmtId="3" fontId="9" fillId="14" borderId="1" applyAlignment="1" pivotButton="0" quotePrefix="0" xfId="0">
      <alignment horizontal="center" vertical="center"/>
    </xf>
    <xf numFmtId="10" fontId="9" fillId="14" borderId="1" applyAlignment="1" pivotButton="0" quotePrefix="0" xfId="0">
      <alignment horizontal="center" vertical="center"/>
    </xf>
    <xf numFmtId="2" fontId="9" fillId="14" borderId="1" applyAlignment="1" pivotButton="0" quotePrefix="0" xfId="0">
      <alignment horizontal="center" vertical="center"/>
    </xf>
    <xf numFmtId="0" fontId="9" fillId="16" borderId="1" applyAlignment="1" pivotButton="0" quotePrefix="0" xfId="0">
      <alignment horizontal="center" vertical="center"/>
    </xf>
    <xf numFmtId="4" fontId="9" fillId="16" borderId="1" applyAlignment="1" pivotButton="0" quotePrefix="0" xfId="0">
      <alignment horizontal="center" vertical="center"/>
    </xf>
    <xf numFmtId="3" fontId="9" fillId="16" borderId="1" applyAlignment="1" pivotButton="0" quotePrefix="0" xfId="0">
      <alignment horizontal="center" vertical="center"/>
    </xf>
    <xf numFmtId="10" fontId="9" fillId="16" borderId="1" applyAlignment="1" pivotButton="0" quotePrefix="0" xfId="0">
      <alignment horizontal="center" vertical="center"/>
    </xf>
    <xf numFmtId="2" fontId="9" fillId="16" borderId="1" applyAlignment="1" pivotButton="0" quotePrefix="0" xfId="0">
      <alignment horizontal="center" vertical="center"/>
    </xf>
    <xf numFmtId="0" fontId="9" fillId="17" borderId="1" applyAlignment="1" pivotButton="0" quotePrefix="0" xfId="0">
      <alignment horizontal="center" vertical="center"/>
    </xf>
    <xf numFmtId="4" fontId="9" fillId="17" borderId="1" applyAlignment="1" pivotButton="0" quotePrefix="0" xfId="0">
      <alignment horizontal="center" vertical="center"/>
    </xf>
    <xf numFmtId="3" fontId="9" fillId="17" borderId="1" applyAlignment="1" pivotButton="0" quotePrefix="0" xfId="0">
      <alignment horizontal="center" vertical="center"/>
    </xf>
    <xf numFmtId="10" fontId="9" fillId="17" borderId="1" applyAlignment="1" pivotButton="0" quotePrefix="0" xfId="0">
      <alignment horizontal="center" vertical="center"/>
    </xf>
    <xf numFmtId="2" fontId="9" fillId="17" borderId="1" applyAlignment="1" pivotButton="0" quotePrefix="0" xfId="0">
      <alignment horizontal="center" vertical="center"/>
    </xf>
    <xf numFmtId="0" fontId="10" fillId="2" borderId="0" applyAlignment="1" pivotButton="0" quotePrefix="0" xfId="0">
      <alignment horizontal="center" vertical="center"/>
    </xf>
    <xf numFmtId="0" fontId="6" fillId="0" borderId="1" pivotButton="0" quotePrefix="0" xfId="0"/>
    <xf numFmtId="0" fontId="6" fillId="18" borderId="1" applyAlignment="1" pivotButton="0" quotePrefix="0" xfId="0">
      <alignment horizontal="center"/>
    </xf>
    <xf numFmtId="0" fontId="11" fillId="5" borderId="1" applyAlignment="1" pivotButton="0" quotePrefix="0" xfId="0">
      <alignment horizontal="center" vertical="center" wrapText="1"/>
    </xf>
    <xf numFmtId="0" fontId="9" fillId="0" borderId="1" applyAlignment="1" pivotButton="0" quotePrefix="0" xfId="0">
      <alignment horizontal="center" vertical="center"/>
    </xf>
    <xf numFmtId="1" fontId="9" fillId="18" borderId="1" applyAlignment="1" pivotButton="0" quotePrefix="0" xfId="0">
      <alignment horizontal="center" vertical="center"/>
    </xf>
    <xf numFmtId="2" fontId="9" fillId="0" borderId="1" applyAlignment="1" pivotButton="0" quotePrefix="0" xfId="0">
      <alignment horizontal="center" vertical="center"/>
    </xf>
    <xf numFmtId="164" fontId="9" fillId="18" borderId="1" applyAlignment="1" pivotButton="0" quotePrefix="0" xfId="0">
      <alignment horizontal="center" vertical="center"/>
    </xf>
    <xf numFmtId="2" fontId="9" fillId="19" borderId="1" applyAlignment="1" pivotButton="0" quotePrefix="0" xfId="0">
      <alignment horizontal="center" vertical="center"/>
    </xf>
    <xf numFmtId="0" fontId="5" fillId="5" borderId="1" applyAlignment="1" pivotButton="0" quotePrefix="0" xfId="0">
      <alignment horizontal="center" vertical="center"/>
    </xf>
    <xf numFmtId="0" fontId="0" fillId="0" borderId="1" pivotButton="0" quotePrefix="0" xfId="0"/>
    <xf numFmtId="0" fontId="2" fillId="5" borderId="1" applyAlignment="1" pivotButton="0" quotePrefix="0" xfId="0">
      <alignment horizontal="center" vertical="center"/>
    </xf>
    <xf numFmtId="0" fontId="12" fillId="0" borderId="1" pivotButton="0" quotePrefix="0" xfId="0"/>
    <xf numFmtId="0" fontId="13" fillId="0" borderId="1" pivotButton="0" quotePrefix="0" xfId="0"/>
    <xf numFmtId="164" fontId="0" fillId="0" borderId="1" applyAlignment="1" pivotButton="0" quotePrefix="0" xfId="0">
      <alignment horizontal="center"/>
    </xf>
    <xf numFmtId="164" fontId="0" fillId="19" borderId="1" applyAlignment="1" pivotButton="0" quotePrefix="0" xfId="0">
      <alignment horizontal="center"/>
    </xf>
    <xf numFmtId="164" fontId="0" fillId="20" borderId="1" applyAlignment="1" pivotButton="0" quotePrefix="0" xfId="0">
      <alignment horizontal="center"/>
    </xf>
    <xf numFmtId="165" fontId="0" fillId="0" borderId="1" applyAlignment="1" pivotButton="0" quotePrefix="0" xfId="0">
      <alignment horizontal="center"/>
    </xf>
    <xf numFmtId="0" fontId="14" fillId="20" borderId="6" applyAlignment="1" pivotButton="0" quotePrefix="0" xfId="0">
      <alignment horizontal="center" vertical="center" wrapText="1"/>
    </xf>
    <xf numFmtId="0" fontId="0" fillId="0" borderId="9" pivotButton="0" quotePrefix="0" xfId="0"/>
    <xf numFmtId="0" fontId="0" fillId="0" borderId="10" pivotButton="0" quotePrefix="0" xfId="0"/>
    <xf numFmtId="3" fontId="6" fillId="18" borderId="1" applyAlignment="1" pivotButton="0" quotePrefix="0" xfId="0">
      <alignment horizontal="center"/>
    </xf>
    <xf numFmtId="9" fontId="6" fillId="18" borderId="1" applyAlignment="1" pivotButton="0" quotePrefix="0" xfId="0">
      <alignment horizontal="center"/>
    </xf>
    <xf numFmtId="0" fontId="5" fillId="5" borderId="1" applyAlignment="1" pivotButton="0" quotePrefix="0" xfId="0">
      <alignment horizontal="center" vertical="center" wrapText="1"/>
    </xf>
    <xf numFmtId="165" fontId="0" fillId="8" borderId="1" applyAlignment="1" pivotButton="0" quotePrefix="0" xfId="0">
      <alignment horizontal="center"/>
    </xf>
    <xf numFmtId="166" fontId="0" fillId="8" borderId="1" applyAlignment="1" pivotButton="0" quotePrefix="0" xfId="0">
      <alignment horizontal="center"/>
    </xf>
    <xf numFmtId="167" fontId="0" fillId="8" borderId="1" applyAlignment="1" pivotButton="0" quotePrefix="0" xfId="0">
      <alignment horizontal="center"/>
    </xf>
    <xf numFmtId="3" fontId="0" fillId="8" borderId="1" applyAlignment="1" pivotButton="0" quotePrefix="0" xfId="0">
      <alignment horizontal="center"/>
    </xf>
    <xf numFmtId="168" fontId="0" fillId="8" borderId="1" applyAlignment="1" pivotButton="0" quotePrefix="0" xfId="0">
      <alignment horizontal="center"/>
    </xf>
    <xf numFmtId="0" fontId="9" fillId="8" borderId="1" pivotButton="0" quotePrefix="0" xfId="0"/>
    <xf numFmtId="165" fontId="0" fillId="9" borderId="1" applyAlignment="1" pivotButton="0" quotePrefix="0" xfId="0">
      <alignment horizontal="center"/>
    </xf>
    <xf numFmtId="166" fontId="0" fillId="9" borderId="1" applyAlignment="1" pivotButton="0" quotePrefix="0" xfId="0">
      <alignment horizontal="center"/>
    </xf>
    <xf numFmtId="167" fontId="0" fillId="9" borderId="1" applyAlignment="1" pivotButton="0" quotePrefix="0" xfId="0">
      <alignment horizontal="center"/>
    </xf>
    <xf numFmtId="3" fontId="0" fillId="9" borderId="1" applyAlignment="1" pivotButton="0" quotePrefix="0" xfId="0">
      <alignment horizontal="center"/>
    </xf>
    <xf numFmtId="168" fontId="0" fillId="9" borderId="1" applyAlignment="1" pivotButton="0" quotePrefix="0" xfId="0">
      <alignment horizontal="center"/>
    </xf>
    <xf numFmtId="0" fontId="9" fillId="9" borderId="1" pivotButton="0" quotePrefix="0" xfId="0"/>
    <xf numFmtId="0" fontId="15" fillId="8" borderId="1" pivotButton="0" quotePrefix="0" xfId="0"/>
    <xf numFmtId="9" fontId="0" fillId="8" borderId="1" applyAlignment="1" pivotButton="0" quotePrefix="0" xfId="0">
      <alignment horizontal="center"/>
    </xf>
    <xf numFmtId="168" fontId="0" fillId="19" borderId="1" applyAlignment="1" pivotButton="0" quotePrefix="0" xfId="0">
      <alignment horizontal="center"/>
    </xf>
    <xf numFmtId="0" fontId="15" fillId="9" borderId="1" pivotButton="0" quotePrefix="0" xfId="0"/>
    <xf numFmtId="9" fontId="0" fillId="9" borderId="1" applyAlignment="1" pivotButton="0" quotePrefix="0" xfId="0">
      <alignment horizontal="center"/>
    </xf>
    <xf numFmtId="0" fontId="2" fillId="4" borderId="0" applyAlignment="1" pivotButton="0" quotePrefix="0" xfId="0">
      <alignment horizontal="center" vertical="center"/>
    </xf>
    <xf numFmtId="0" fontId="6" fillId="0" borderId="0" pivotButton="0" quotePrefix="0" xfId="0"/>
    <xf numFmtId="3" fontId="16" fillId="0" borderId="0" applyAlignment="1" pivotButton="0" quotePrefix="0" xfId="0">
      <alignment horizontal="center"/>
    </xf>
    <xf numFmtId="3" fontId="17" fillId="0" borderId="0" applyAlignment="1" pivotButton="0" quotePrefix="0" xfId="0">
      <alignment horizontal="center"/>
    </xf>
    <xf numFmtId="0" fontId="18" fillId="0" borderId="0" pivotButton="0" quotePrefix="0" xfId="0"/>
    <xf numFmtId="3" fontId="19" fillId="0" borderId="0" applyAlignment="1" pivotButton="0" quotePrefix="0" xfId="0">
      <alignment horizontal="center"/>
    </xf>
    <xf numFmtId="0" fontId="3" fillId="6" borderId="0" applyAlignment="1" pivotButton="0" quotePrefix="0" xfId="0">
      <alignment horizontal="left" vertical="center"/>
    </xf>
    <xf numFmtId="0" fontId="3" fillId="21" borderId="0" applyAlignment="1" pivotButton="0" quotePrefix="0" xfId="0">
      <alignment horizontal="left" vertical="center"/>
    </xf>
    <xf numFmtId="0" fontId="3" fillId="4" borderId="0" applyAlignment="1" pivotButton="0" quotePrefix="0" xfId="0">
      <alignment horizontal="left" vertical="center"/>
    </xf>
    <xf numFmtId="0" fontId="22" fillId="22" borderId="1" pivotButton="0" quotePrefix="0" xfId="0"/>
    <xf numFmtId="3" fontId="22" fillId="22" borderId="1" pivotButton="0" quotePrefix="0" xfId="0"/>
    <xf numFmtId="0" fontId="22" fillId="22" borderId="1" applyAlignment="1" pivotButton="0" quotePrefix="0" xfId="0">
      <alignment horizontal="center"/>
    </xf>
    <xf numFmtId="9" fontId="22" fillId="22" borderId="1" applyAlignment="1" pivotButton="0" quotePrefix="0" xfId="0">
      <alignment horizontal="center"/>
    </xf>
    <xf numFmtId="3" fontId="22" fillId="22" borderId="1" applyAlignment="1" pivotButton="0" quotePrefix="0" xfId="0">
      <alignment horizontal="center"/>
    </xf>
    <xf numFmtId="0" fontId="22" fillId="11" borderId="1" pivotButton="0" quotePrefix="0" xfId="0"/>
    <xf numFmtId="3" fontId="22" fillId="11" borderId="1" pivotButton="0" quotePrefix="0" xfId="0"/>
    <xf numFmtId="0" fontId="22" fillId="11" borderId="1" applyAlignment="1" pivotButton="0" quotePrefix="0" xfId="0">
      <alignment horizontal="center"/>
    </xf>
    <xf numFmtId="9" fontId="22" fillId="11" borderId="1" applyAlignment="1" pivotButton="0" quotePrefix="0" xfId="0">
      <alignment horizontal="center"/>
    </xf>
    <xf numFmtId="3" fontId="22" fillId="11" borderId="1" applyAlignment="1" pivotButton="0" quotePrefix="0" xfId="0">
      <alignment horizontal="center"/>
    </xf>
    <xf numFmtId="0" fontId="22" fillId="23" borderId="1" pivotButton="0" quotePrefix="0" xfId="0"/>
    <xf numFmtId="3" fontId="22" fillId="23" borderId="1" pivotButton="0" quotePrefix="0" xfId="0"/>
    <xf numFmtId="0" fontId="22" fillId="23" borderId="1" applyAlignment="1" pivotButton="0" quotePrefix="0" xfId="0">
      <alignment horizontal="center"/>
    </xf>
    <xf numFmtId="9" fontId="22" fillId="23" borderId="1" applyAlignment="1" pivotButton="0" quotePrefix="0" xfId="0">
      <alignment horizontal="center"/>
    </xf>
    <xf numFmtId="3" fontId="22" fillId="23" borderId="1" applyAlignment="1" pivotButton="0" quotePrefix="0" xfId="0">
      <alignment horizontal="center"/>
    </xf>
    <xf numFmtId="0" fontId="2" fillId="2" borderId="0" applyAlignment="1" pivotButton="0" quotePrefix="0" xfId="0">
      <alignment horizontal="center" vertical="center"/>
    </xf>
    <xf numFmtId="3" fontId="23" fillId="0" borderId="1" applyAlignment="1" pivotButton="0" quotePrefix="0" xfId="0">
      <alignment horizontal="center"/>
    </xf>
    <xf numFmtId="0" fontId="24" fillId="5" borderId="0" applyAlignment="1" pivotButton="0" quotePrefix="0" xfId="0">
      <alignment horizontal="center" vertical="center" wrapText="1"/>
    </xf>
    <xf numFmtId="0" fontId="0" fillId="0" borderId="1" applyAlignment="1" pivotButton="0" quotePrefix="0" xfId="0">
      <alignment horizontal="center"/>
    </xf>
    <xf numFmtId="9" fontId="0" fillId="18" borderId="1" applyAlignment="1" pivotButton="0" quotePrefix="0" xfId="0">
      <alignment horizontal="center"/>
    </xf>
    <xf numFmtId="0" fontId="0" fillId="18" borderId="1" applyAlignment="1" pivotButton="0" quotePrefix="0" xfId="0">
      <alignment horizontal="center"/>
    </xf>
    <xf numFmtId="0" fontId="5" fillId="5" borderId="1" pivotButton="0" quotePrefix="0" xfId="0"/>
    <xf numFmtId="0" fontId="0" fillId="0" borderId="1" applyAlignment="1" pivotButton="0" quotePrefix="0" xfId="0">
      <alignment wrapText="1"/>
    </xf>
    <xf numFmtId="0" fontId="16" fillId="0" borderId="1" applyAlignment="1" pivotButton="0" quotePrefix="0" xfId="0">
      <alignment horizontal="center"/>
    </xf>
    <xf numFmtId="0" fontId="3" fillId="4" borderId="0" applyAlignment="1" pivotButton="0" quotePrefix="0" xfId="0">
      <alignment horizontal="center" vertical="center" wrapText="1"/>
    </xf>
    <xf numFmtId="0" fontId="0" fillId="24" borderId="1" pivotButton="0" quotePrefix="0" xfId="0"/>
    <xf numFmtId="2" fontId="0" fillId="24" borderId="1" applyAlignment="1" pivotButton="0" quotePrefix="0" xfId="0">
      <alignment horizontal="center"/>
    </xf>
    <xf numFmtId="1" fontId="0" fillId="24" borderId="1" applyAlignment="1" pivotButton="0" quotePrefix="0" xfId="0">
      <alignment horizontal="center"/>
    </xf>
    <xf numFmtId="1" fontId="0" fillId="19" borderId="1" applyAlignment="1" pivotButton="0" quotePrefix="0" xfId="0">
      <alignment horizontal="center"/>
    </xf>
    <xf numFmtId="1" fontId="25" fillId="20" borderId="1" applyAlignment="1" pivotButton="0" quotePrefix="0" xfId="0">
      <alignment horizontal="center"/>
    </xf>
    <xf numFmtId="3" fontId="0" fillId="24" borderId="1" applyAlignment="1" pivotButton="0" quotePrefix="0" xfId="0">
      <alignment horizontal="center"/>
    </xf>
    <xf numFmtId="0" fontId="26" fillId="4" borderId="1" applyAlignment="1" pivotButton="0" quotePrefix="0" xfId="0">
      <alignment horizontal="center"/>
    </xf>
    <xf numFmtId="0" fontId="0" fillId="9" borderId="1" pivotButton="0" quotePrefix="0" xfId="0"/>
    <xf numFmtId="2" fontId="0" fillId="9" borderId="1" applyAlignment="1" pivotButton="0" quotePrefix="0" xfId="0">
      <alignment horizontal="center"/>
    </xf>
    <xf numFmtId="1" fontId="0" fillId="9" borderId="1" applyAlignment="1" pivotButton="0" quotePrefix="0" xfId="0">
      <alignment horizontal="center"/>
    </xf>
    <xf numFmtId="0" fontId="26" fillId="21" borderId="1" applyAlignment="1" pivotButton="0" quotePrefix="0" xfId="0">
      <alignment horizontal="center"/>
    </xf>
    <xf numFmtId="0" fontId="26" fillId="5" borderId="1" applyAlignment="1" pivotButton="0" quotePrefix="0" xfId="0">
      <alignment horizontal="center"/>
    </xf>
    <xf numFmtId="0" fontId="7" fillId="5" borderId="0" applyAlignment="1" pivotButton="0" quotePrefix="0" xfId="0">
      <alignment horizontal="center" vertical="center"/>
    </xf>
    <xf numFmtId="0" fontId="5" fillId="2" borderId="1" applyAlignment="1" pivotButton="0" quotePrefix="0" xfId="0">
      <alignment horizontal="center" vertical="center"/>
    </xf>
    <xf numFmtId="0" fontId="22" fillId="25" borderId="1" pivotButton="0" quotePrefix="0" xfId="0"/>
    <xf numFmtId="0" fontId="0" fillId="18" borderId="1" pivotButton="0" quotePrefix="0" xfId="0"/>
    <xf numFmtId="0" fontId="22" fillId="9" borderId="1" pivotButton="0" quotePrefix="0" xfId="0"/>
    <xf numFmtId="0" fontId="7" fillId="6" borderId="0" applyAlignment="1" pivotButton="0" quotePrefix="0" xfId="0">
      <alignment horizontal="center" vertical="center"/>
    </xf>
    <xf numFmtId="0" fontId="7" fillId="21" borderId="0" applyAlignment="1" pivotButton="0" quotePrefix="0" xfId="0">
      <alignment horizontal="center" vertical="center"/>
    </xf>
    <xf numFmtId="0" fontId="7" fillId="4" borderId="0" applyAlignment="1" pivotButton="0" quotePrefix="0" xfId="0">
      <alignment horizontal="center" vertical="center"/>
    </xf>
    <xf numFmtId="0" fontId="7" fillId="26" borderId="0" applyAlignment="1" pivotButton="0" quotePrefix="0" xfId="0">
      <alignment horizontal="center" vertical="center"/>
    </xf>
    <xf numFmtId="0" fontId="3" fillId="27" borderId="11" applyAlignment="1" pivotButton="0" quotePrefix="0" xfId="0">
      <alignment horizontal="center" vertical="center" wrapText="1"/>
    </xf>
    <xf numFmtId="0" fontId="3" fillId="28" borderId="11" applyAlignment="1" pivotButton="0" quotePrefix="0" xfId="0">
      <alignment horizontal="center" vertical="center" wrapText="1"/>
    </xf>
    <xf numFmtId="0" fontId="3" fillId="29" borderId="11" applyAlignment="1" pivotButton="0" quotePrefix="0" xfId="0">
      <alignment horizontal="center" vertical="center" wrapText="1"/>
    </xf>
    <xf numFmtId="0" fontId="3" fillId="30" borderId="11" applyAlignment="1" pivotButton="0" quotePrefix="0" xfId="0">
      <alignment horizontal="center" vertical="center" wrapText="1"/>
    </xf>
    <xf numFmtId="0" fontId="3" fillId="31" borderId="11" applyAlignment="1" pivotButton="0" quotePrefix="0" xfId="0">
      <alignment horizontal="center" vertical="center" wrapText="1"/>
    </xf>
    <xf numFmtId="0" fontId="27" fillId="9" borderId="0" applyAlignment="1" pivotButton="0" quotePrefix="0" xfId="0">
      <alignment horizontal="left" vertical="center"/>
    </xf>
    <xf numFmtId="0" fontId="28" fillId="9" borderId="0" applyAlignment="1" pivotButton="0" quotePrefix="0" xfId="0">
      <alignment horizontal="left" vertical="center"/>
    </xf>
    <xf numFmtId="0" fontId="29" fillId="9" borderId="0" applyAlignment="1" pivotButton="0" quotePrefix="0" xfId="0">
      <alignment horizontal="left" vertical="center"/>
    </xf>
    <xf numFmtId="3" fontId="28" fillId="9" borderId="0" applyAlignment="1" pivotButton="0" quotePrefix="0" xfId="0">
      <alignment horizontal="right" vertical="center"/>
    </xf>
    <xf numFmtId="0" fontId="28" fillId="32" borderId="12" applyAlignment="1" pivotButton="0" quotePrefix="0" xfId="0">
      <alignment horizontal="center" vertical="center"/>
    </xf>
    <xf numFmtId="3" fontId="30" fillId="33" borderId="13" applyAlignment="1" pivotButton="0" quotePrefix="0" xfId="0">
      <alignment horizontal="center" vertical="center"/>
    </xf>
    <xf numFmtId="164" fontId="31" fillId="33" borderId="13" applyAlignment="1" pivotButton="0" quotePrefix="0" xfId="0">
      <alignment horizontal="center" vertical="center"/>
    </xf>
    <xf numFmtId="164" fontId="30" fillId="34" borderId="14" applyAlignment="1" pivotButton="0" quotePrefix="0" xfId="0">
      <alignment horizontal="center" vertical="center"/>
    </xf>
    <xf numFmtId="169" fontId="31" fillId="34" borderId="14" applyAlignment="1" pivotButton="0" quotePrefix="0" xfId="0">
      <alignment horizontal="center" vertical="center"/>
    </xf>
    <xf numFmtId="49" fontId="30" fillId="35" borderId="15" applyAlignment="1" pivotButton="0" quotePrefix="0" xfId="0">
      <alignment horizontal="center" vertical="center"/>
    </xf>
    <xf numFmtId="49" fontId="30" fillId="33" borderId="16" applyAlignment="1" pivotButton="0" quotePrefix="0" xfId="0">
      <alignment horizontal="center" vertical="center"/>
    </xf>
    <xf numFmtId="0" fontId="30" fillId="35" borderId="15" applyAlignment="1" pivotButton="0" quotePrefix="0" xfId="0">
      <alignment horizontal="center" vertical="center"/>
    </xf>
    <xf numFmtId="3" fontId="31" fillId="36" borderId="17" applyAlignment="1" pivotButton="0" quotePrefix="0" xfId="0">
      <alignment horizontal="right" vertical="center"/>
    </xf>
    <xf numFmtId="165" fontId="31" fillId="37" borderId="18" applyAlignment="1" pivotButton="0" quotePrefix="0" xfId="0">
      <alignment horizontal="center" vertical="center"/>
    </xf>
    <xf numFmtId="0" fontId="32" fillId="35" borderId="15" applyAlignment="1" pivotButton="0" quotePrefix="0" xfId="0">
      <alignment horizontal="center" vertical="center"/>
    </xf>
    <xf numFmtId="0" fontId="27" fillId="36" borderId="0" applyAlignment="1" pivotButton="0" quotePrefix="0" xfId="0">
      <alignment horizontal="left" vertical="center"/>
    </xf>
    <xf numFmtId="0" fontId="28" fillId="36" borderId="0" applyAlignment="1" pivotButton="0" quotePrefix="0" xfId="0">
      <alignment horizontal="left" vertical="center"/>
    </xf>
    <xf numFmtId="0" fontId="29" fillId="36" borderId="0" applyAlignment="1" pivotButton="0" quotePrefix="0" xfId="0">
      <alignment horizontal="left" vertical="center"/>
    </xf>
    <xf numFmtId="3" fontId="28" fillId="36" borderId="0" applyAlignment="1" pivotButton="0" quotePrefix="0" xfId="0">
      <alignment horizontal="right" vertical="center"/>
    </xf>
    <xf numFmtId="0" fontId="28" fillId="34" borderId="12" applyAlignment="1" pivotButton="0" quotePrefix="0" xfId="0">
      <alignment horizontal="center" vertical="center"/>
    </xf>
    <xf numFmtId="0" fontId="2" fillId="27" borderId="0" applyAlignment="1" pivotButton="0" quotePrefix="0" xfId="0">
      <alignment horizontal="center" vertical="center"/>
    </xf>
    <xf numFmtId="0" fontId="33" fillId="32" borderId="19" applyAlignment="1" pivotButton="0" quotePrefix="0" xfId="0">
      <alignment horizontal="left" vertical="center"/>
    </xf>
    <xf numFmtId="0" fontId="28" fillId="36" borderId="0" applyAlignment="1" pivotButton="0" quotePrefix="0" xfId="0">
      <alignment horizontal="left" vertical="center" wrapText="1"/>
    </xf>
    <xf numFmtId="0" fontId="28" fillId="9" borderId="0" applyAlignment="1" pivotButton="0" quotePrefix="0" xfId="0">
      <alignment horizontal="left" vertical="center" wrapText="1"/>
    </xf>
    <xf numFmtId="0" fontId="34" fillId="26" borderId="0" applyAlignment="1" pivotButton="0" quotePrefix="0" xfId="0">
      <alignment horizontal="center" vertical="center"/>
    </xf>
    <xf numFmtId="0" fontId="35" fillId="27" borderId="0" applyAlignment="1" pivotButton="0" quotePrefix="0" xfId="0">
      <alignment horizontal="center" vertical="center" wrapText="1"/>
    </xf>
    <xf numFmtId="0" fontId="36" fillId="26" borderId="0" applyAlignment="1" pivotButton="0" quotePrefix="0" xfId="0">
      <alignment horizontal="left" vertical="center"/>
    </xf>
    <xf numFmtId="0" fontId="5" fillId="26" borderId="11" applyAlignment="1" pivotButton="0" quotePrefix="0" xfId="0">
      <alignment horizontal="center" vertical="center" wrapText="1"/>
    </xf>
    <xf numFmtId="0" fontId="5" fillId="29" borderId="11" applyAlignment="1" pivotButton="0" quotePrefix="0" xfId="0">
      <alignment horizontal="center" vertical="center" wrapText="1"/>
    </xf>
    <xf numFmtId="0" fontId="5" fillId="28" borderId="11" applyAlignment="1" pivotButton="0" quotePrefix="0" xfId="0">
      <alignment horizontal="center" vertical="center" wrapText="1"/>
    </xf>
    <xf numFmtId="0" fontId="5" fillId="30" borderId="11" applyAlignment="1" pivotButton="0" quotePrefix="0" xfId="0">
      <alignment horizontal="center" vertical="center" wrapText="1"/>
    </xf>
    <xf numFmtId="0" fontId="5" fillId="38" borderId="11" applyAlignment="1" pivotButton="0" quotePrefix="0" xfId="0">
      <alignment horizontal="center" vertical="center" wrapText="1"/>
    </xf>
    <xf numFmtId="0" fontId="5" fillId="27" borderId="12" applyAlignment="1" pivotButton="0" quotePrefix="0" xfId="0">
      <alignment horizontal="left" vertical="top" wrapText="1"/>
    </xf>
    <xf numFmtId="0" fontId="27" fillId="9" borderId="12" applyAlignment="1" pivotButton="0" quotePrefix="0" xfId="0">
      <alignment horizontal="left" vertical="top" wrapText="1"/>
    </xf>
    <xf numFmtId="0" fontId="37" fillId="32" borderId="12" applyAlignment="1" pivotButton="0" quotePrefix="0" xfId="0">
      <alignment horizontal="left" vertical="top" wrapText="1"/>
    </xf>
    <xf numFmtId="0" fontId="28" fillId="9" borderId="12" applyAlignment="1" pivotButton="0" quotePrefix="0" xfId="0">
      <alignment horizontal="left" vertical="top" wrapText="1"/>
    </xf>
    <xf numFmtId="0" fontId="38" fillId="35" borderId="12" applyAlignment="1" pivotButton="0" quotePrefix="0" xfId="0">
      <alignment horizontal="left" vertical="top" wrapText="1"/>
    </xf>
    <xf numFmtId="0" fontId="39" fillId="37" borderId="12" applyAlignment="1" pivotButton="0" quotePrefix="0" xfId="0">
      <alignment horizontal="left" vertical="top" wrapText="1"/>
    </xf>
    <xf numFmtId="0" fontId="36" fillId="31" borderId="0" applyAlignment="1" pivotButton="0" quotePrefix="0" xfId="0">
      <alignment horizontal="left" vertical="center"/>
    </xf>
    <xf numFmtId="0" fontId="36" fillId="30" borderId="0" applyAlignment="1" pivotButton="0" quotePrefix="0" xfId="0">
      <alignment horizontal="left" vertical="center"/>
    </xf>
    <xf numFmtId="0" fontId="36" fillId="29" borderId="0" applyAlignment="1" pivotButton="0" quotePrefix="0" xfId="0">
      <alignment horizontal="left" vertical="center"/>
    </xf>
    <xf numFmtId="0" fontId="37" fillId="34" borderId="12" applyAlignment="1" pivotButton="0" quotePrefix="0" xfId="0">
      <alignment horizontal="left" vertical="top" wrapText="1"/>
    </xf>
    <xf numFmtId="0" fontId="38" fillId="34" borderId="12" applyAlignment="1" pivotButton="0" quotePrefix="0" xfId="0">
      <alignment horizontal="left" vertical="top" wrapText="1"/>
    </xf>
    <xf numFmtId="0" fontId="39" fillId="34" borderId="12" applyAlignment="1" pivotButton="0" quotePrefix="0" xfId="0">
      <alignment horizontal="left" vertical="top" wrapText="1"/>
    </xf>
    <xf numFmtId="0" fontId="36" fillId="28" borderId="0" applyAlignment="1" pivotButton="0" quotePrefix="0" xfId="0">
      <alignment horizontal="left" vertical="center"/>
    </xf>
    <xf numFmtId="0" fontId="36" fillId="38" borderId="0" applyAlignment="1" pivotButton="0" quotePrefix="0" xfId="0">
      <alignment horizontal="left" vertical="center"/>
    </xf>
    <xf numFmtId="0" fontId="37" fillId="37" borderId="12" applyAlignment="1" pivotButton="0" quotePrefix="0" xfId="0">
      <alignment horizontal="left" vertical="top" wrapText="1"/>
    </xf>
    <xf numFmtId="0" fontId="38" fillId="37" borderId="12" applyAlignment="1" pivotButton="0" quotePrefix="0" xfId="0">
      <alignment horizontal="left" vertical="top" wrapText="1"/>
    </xf>
    <xf numFmtId="0" fontId="36" fillId="27" borderId="0" applyAlignment="1" pivotButton="0" quotePrefix="0" xfId="0">
      <alignment horizontal="left" vertical="center"/>
    </xf>
    <xf numFmtId="0" fontId="40" fillId="26" borderId="0" applyAlignment="1" pivotButton="0" quotePrefix="0" xfId="0">
      <alignment horizontal="left" vertical="top" wrapText="1"/>
    </xf>
  </cellXfs>
  <cellStyles count="1">
    <cellStyle name="Normal" xfId="0" builtinId="0" hidden="0"/>
  </cellStyles>
  <dxfs count="4">
    <dxf>
      <font>
        <b val="1"/>
        <color rgb="00FFFFFF"/>
      </font>
      <fill>
        <patternFill patternType="solid">
          <fgColor rgb="00E4002B"/>
        </patternFill>
      </fill>
    </dxf>
    <dxf>
      <font>
        <b val="1"/>
        <color rgb="00FFFFFF"/>
        <sz val="9"/>
      </font>
      <fill>
        <patternFill patternType="solid">
          <fgColor rgb="00E4002B"/>
        </patternFill>
      </fill>
    </dxf>
    <dxf>
      <font>
        <b val="1"/>
        <color rgb="00FFFFFF"/>
        <sz val="9"/>
      </font>
      <fill>
        <patternFill patternType="solid">
          <fgColor rgb="00FF8C00"/>
        </patternFill>
      </fill>
    </dxf>
    <dxf>
      <font>
        <b val="1"/>
        <color rgb="00FFFFFF"/>
        <sz val="9"/>
      </font>
      <fill>
        <patternFill patternType="solid">
          <f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N33"/>
  <sheetViews>
    <sheetView showGridLines="0"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ht="8" customHeight="1"/>
    <row r="2" ht="36" customHeight="1">
      <c r="B2" s="1" t="inlineStr">
        <is>
          <t>FUSO MEA PARTS — DEMAND PLANNING DASHBOARD</t>
        </is>
      </c>
    </row>
    <row r="4" ht="8" customHeight="1"/>
    <row r="5" ht="20" customHeight="1">
      <c r="B5" s="2" t="inlineStr">
        <is>
          <t>KEY PERFORMANCE INDICATORS</t>
        </is>
      </c>
      <c r="C5" s="3" t="n"/>
      <c r="D5" s="3" t="n"/>
      <c r="E5" s="3" t="n"/>
      <c r="F5" s="3" t="n"/>
      <c r="G5" s="3" t="n"/>
      <c r="H5" s="3" t="n"/>
      <c r="I5" s="3" t="n"/>
      <c r="J5" s="3" t="n"/>
      <c r="K5" s="3" t="n"/>
      <c r="L5" s="3" t="n"/>
      <c r="M5" s="3" t="n"/>
      <c r="N5" s="4" t="n"/>
    </row>
    <row r="6" ht="72" customHeight="1">
      <c r="B6" s="5" t="inlineStr">
        <is>
          <t>Forecast Accuracy
Current: 70%
Target:  85%
via SBA Consensus</t>
        </is>
      </c>
      <c r="C6" s="3" t="n"/>
      <c r="D6" s="4" t="n"/>
      <c r="E6" s="6" t="inlineStr">
        <is>
          <t>Fill Rate
Current: 86%
Target:  95%
OEM benchmark</t>
        </is>
      </c>
      <c r="F6" s="3" t="n"/>
      <c r="G6" s="4" t="n"/>
      <c r="H6" s="7" t="inlineStr">
        <is>
          <t>SMOB Rate
Current: 18%
Target:  &lt;5%
3-yr target</t>
        </is>
      </c>
      <c r="I6" s="3" t="n"/>
      <c r="J6" s="4" t="n"/>
      <c r="K6" s="8" t="inlineStr">
        <is>
          <t>Markets Covered
Current: 58
Target:  —
MEA countries</t>
        </is>
      </c>
      <c r="L6" s="3" t="n"/>
      <c r="M6" s="4" t="n"/>
    </row>
    <row r="8" ht="8" customHeight="1"/>
    <row r="9" ht="18" customHeight="1">
      <c r="B9" s="2" t="inlineStr">
        <is>
          <t>SUPPLY ORIGINS &amp; LEAD TIMES</t>
        </is>
      </c>
      <c r="C9" s="3" t="n"/>
      <c r="D9" s="3" t="n"/>
      <c r="E9" s="3" t="n"/>
      <c r="F9" s="3" t="n"/>
      <c r="G9" s="3" t="n"/>
      <c r="H9" s="3" t="n"/>
      <c r="I9" s="3" t="n"/>
      <c r="J9" s="3" t="n"/>
      <c r="K9" s="3" t="n"/>
      <c r="L9" s="3" t="n"/>
      <c r="M9" s="3" t="n"/>
      <c r="N9" s="4" t="n"/>
    </row>
    <row r="10" ht="50" customHeight="1">
      <c r="B10" s="9" t="inlineStr">
        <is>
          <t>Japan (Kawasaki DC)
Lead Time: 45 days avg</t>
        </is>
      </c>
      <c r="C10" s="3" t="n"/>
      <c r="D10" s="3" t="n"/>
      <c r="E10" s="4" t="n"/>
      <c r="F10" s="10" t="inlineStr">
        <is>
          <t>Chennai / India
Lead Time: 21 days avg</t>
        </is>
      </c>
      <c r="G10" s="3" t="n"/>
      <c r="H10" s="3" t="n"/>
      <c r="I10" s="4" t="n"/>
      <c r="J10" s="11" t="inlineStr">
        <is>
          <t>GPC Halberstadt (Transition)
Lead Time: 30 days (transitioning)</t>
        </is>
      </c>
      <c r="K10" s="3" t="n"/>
      <c r="L10" s="3" t="n"/>
      <c r="M10" s="4" t="n"/>
    </row>
    <row r="12" ht="8" customHeight="1"/>
    <row r="13" ht="18" customHeight="1">
      <c r="B13" s="2" t="inlineStr">
        <is>
          <t>MONTHLY FORECAST ACCURACY COMPARISON (Jan–Dec 2025)</t>
        </is>
      </c>
      <c r="C13" s="3" t="n"/>
      <c r="D13" s="3" t="n"/>
      <c r="E13" s="3" t="n"/>
      <c r="F13" s="3" t="n"/>
      <c r="G13" s="3" t="n"/>
      <c r="H13" s="3" t="n"/>
      <c r="I13" s="3" t="n"/>
      <c r="J13" s="3" t="n"/>
      <c r="K13" s="3" t="n"/>
      <c r="L13" s="3" t="n"/>
      <c r="M13" s="3" t="n"/>
      <c r="N13" s="4" t="n"/>
    </row>
    <row r="14" ht="18" customHeight="1">
      <c r="B14" s="12" t="inlineStr">
        <is>
          <t>Month</t>
        </is>
      </c>
      <c r="C14" s="3" t="n"/>
      <c r="D14" s="4" t="n"/>
      <c r="E14" s="13" t="inlineStr">
        <is>
          <t>APO Moving Avg</t>
        </is>
      </c>
      <c r="F14" s="3" t="n"/>
      <c r="G14" s="4" t="n"/>
      <c r="H14" s="14" t="inlineStr">
        <is>
          <t>SBA Consensus</t>
        </is>
      </c>
      <c r="I14" s="3" t="n"/>
      <c r="J14" s="4" t="n"/>
      <c r="K14" s="15" t="inlineStr">
        <is>
          <t>Industry Benchmark</t>
        </is>
      </c>
      <c r="L14" s="3" t="n"/>
      <c r="M14" s="4" t="n"/>
    </row>
    <row r="15" ht="16" customHeight="1">
      <c r="B15" s="16" t="inlineStr">
        <is>
          <t>Jan</t>
        </is>
      </c>
      <c r="C15" s="3" t="n"/>
      <c r="D15" s="4" t="n"/>
      <c r="E15" s="16" t="inlineStr">
        <is>
          <t>68%</t>
        </is>
      </c>
      <c r="F15" s="3" t="n"/>
      <c r="G15" s="4" t="n"/>
      <c r="H15" s="16" t="inlineStr">
        <is>
          <t>78%</t>
        </is>
      </c>
      <c r="I15" s="3" t="n"/>
      <c r="J15" s="4" t="n"/>
      <c r="K15" s="16" t="inlineStr">
        <is>
          <t>77%</t>
        </is>
      </c>
      <c r="L15" s="3" t="n"/>
      <c r="M15" s="4" t="n"/>
    </row>
    <row r="16" ht="16" customHeight="1">
      <c r="B16" s="17" t="inlineStr">
        <is>
          <t>Feb</t>
        </is>
      </c>
      <c r="C16" s="3" t="n"/>
      <c r="D16" s="4" t="n"/>
      <c r="E16" s="17" t="inlineStr">
        <is>
          <t>71%</t>
        </is>
      </c>
      <c r="F16" s="3" t="n"/>
      <c r="G16" s="4" t="n"/>
      <c r="H16" s="17" t="inlineStr">
        <is>
          <t>80%</t>
        </is>
      </c>
      <c r="I16" s="3" t="n"/>
      <c r="J16" s="4" t="n"/>
      <c r="K16" s="17" t="inlineStr">
        <is>
          <t>77%</t>
        </is>
      </c>
      <c r="L16" s="3" t="n"/>
      <c r="M16" s="4" t="n"/>
    </row>
    <row r="17" ht="16" customHeight="1">
      <c r="B17" s="16" t="inlineStr">
        <is>
          <t>Mar</t>
        </is>
      </c>
      <c r="C17" s="3" t="n"/>
      <c r="D17" s="4" t="n"/>
      <c r="E17" s="16" t="inlineStr">
        <is>
          <t>69%</t>
        </is>
      </c>
      <c r="F17" s="3" t="n"/>
      <c r="G17" s="4" t="n"/>
      <c r="H17" s="16" t="inlineStr">
        <is>
          <t>82%</t>
        </is>
      </c>
      <c r="I17" s="3" t="n"/>
      <c r="J17" s="4" t="n"/>
      <c r="K17" s="16" t="inlineStr">
        <is>
          <t>77%</t>
        </is>
      </c>
      <c r="L17" s="3" t="n"/>
      <c r="M17" s="4" t="n"/>
    </row>
    <row r="18" ht="16" customHeight="1">
      <c r="B18" s="17" t="inlineStr">
        <is>
          <t>Apr</t>
        </is>
      </c>
      <c r="C18" s="3" t="n"/>
      <c r="D18" s="4" t="n"/>
      <c r="E18" s="17" t="inlineStr">
        <is>
          <t>72%</t>
        </is>
      </c>
      <c r="F18" s="3" t="n"/>
      <c r="G18" s="4" t="n"/>
      <c r="H18" s="17" t="inlineStr">
        <is>
          <t>83%</t>
        </is>
      </c>
      <c r="I18" s="3" t="n"/>
      <c r="J18" s="4" t="n"/>
      <c r="K18" s="17" t="inlineStr">
        <is>
          <t>77%</t>
        </is>
      </c>
      <c r="L18" s="3" t="n"/>
      <c r="M18" s="4" t="n"/>
    </row>
    <row r="19" ht="16" customHeight="1">
      <c r="B19" s="16" t="inlineStr">
        <is>
          <t>May</t>
        </is>
      </c>
      <c r="C19" s="3" t="n"/>
      <c r="D19" s="4" t="n"/>
      <c r="E19" s="16" t="inlineStr">
        <is>
          <t>70%</t>
        </is>
      </c>
      <c r="F19" s="3" t="n"/>
      <c r="G19" s="4" t="n"/>
      <c r="H19" s="16" t="inlineStr">
        <is>
          <t>84%</t>
        </is>
      </c>
      <c r="I19" s="3" t="n"/>
      <c r="J19" s="4" t="n"/>
      <c r="K19" s="16" t="inlineStr">
        <is>
          <t>77%</t>
        </is>
      </c>
      <c r="L19" s="3" t="n"/>
      <c r="M19" s="4" t="n"/>
    </row>
    <row r="20" ht="16" customHeight="1">
      <c r="B20" s="17" t="inlineStr">
        <is>
          <t>Jun</t>
        </is>
      </c>
      <c r="C20" s="3" t="n"/>
      <c r="D20" s="4" t="n"/>
      <c r="E20" s="17" t="inlineStr">
        <is>
          <t>68%</t>
        </is>
      </c>
      <c r="F20" s="3" t="n"/>
      <c r="G20" s="4" t="n"/>
      <c r="H20" s="17" t="inlineStr">
        <is>
          <t>85%</t>
        </is>
      </c>
      <c r="I20" s="3" t="n"/>
      <c r="J20" s="4" t="n"/>
      <c r="K20" s="17" t="inlineStr">
        <is>
          <t>77%</t>
        </is>
      </c>
      <c r="L20" s="3" t="n"/>
      <c r="M20" s="4" t="n"/>
    </row>
    <row r="21" ht="16" customHeight="1">
      <c r="B21" s="16" t="inlineStr">
        <is>
          <t>Jul</t>
        </is>
      </c>
      <c r="C21" s="3" t="n"/>
      <c r="D21" s="4" t="n"/>
      <c r="E21" s="16" t="inlineStr">
        <is>
          <t>71%</t>
        </is>
      </c>
      <c r="F21" s="3" t="n"/>
      <c r="G21" s="4" t="n"/>
      <c r="H21" s="16" t="inlineStr">
        <is>
          <t>83%</t>
        </is>
      </c>
      <c r="I21" s="3" t="n"/>
      <c r="J21" s="4" t="n"/>
      <c r="K21" s="16" t="inlineStr">
        <is>
          <t>77%</t>
        </is>
      </c>
      <c r="L21" s="3" t="n"/>
      <c r="M21" s="4" t="n"/>
    </row>
    <row r="22" ht="16" customHeight="1">
      <c r="B22" s="17" t="inlineStr">
        <is>
          <t>Aug</t>
        </is>
      </c>
      <c r="C22" s="3" t="n"/>
      <c r="D22" s="4" t="n"/>
      <c r="E22" s="17" t="inlineStr">
        <is>
          <t>70%</t>
        </is>
      </c>
      <c r="F22" s="3" t="n"/>
      <c r="G22" s="4" t="n"/>
      <c r="H22" s="17" t="inlineStr">
        <is>
          <t>85%</t>
        </is>
      </c>
      <c r="I22" s="3" t="n"/>
      <c r="J22" s="4" t="n"/>
      <c r="K22" s="17" t="inlineStr">
        <is>
          <t>77%</t>
        </is>
      </c>
      <c r="L22" s="3" t="n"/>
      <c r="M22" s="4" t="n"/>
    </row>
    <row r="23" ht="16" customHeight="1">
      <c r="B23" s="16" t="inlineStr">
        <is>
          <t>Sep</t>
        </is>
      </c>
      <c r="C23" s="3" t="n"/>
      <c r="D23" s="4" t="n"/>
      <c r="E23" s="16" t="inlineStr">
        <is>
          <t>72%</t>
        </is>
      </c>
      <c r="F23" s="3" t="n"/>
      <c r="G23" s="4" t="n"/>
      <c r="H23" s="16" t="inlineStr">
        <is>
          <t>86%</t>
        </is>
      </c>
      <c r="I23" s="3" t="n"/>
      <c r="J23" s="4" t="n"/>
      <c r="K23" s="16" t="inlineStr">
        <is>
          <t>77%</t>
        </is>
      </c>
      <c r="L23" s="3" t="n"/>
      <c r="M23" s="4" t="n"/>
    </row>
    <row r="24" ht="16" customHeight="1">
      <c r="B24" s="17" t="inlineStr">
        <is>
          <t>Oct</t>
        </is>
      </c>
      <c r="C24" s="3" t="n"/>
      <c r="D24" s="4" t="n"/>
      <c r="E24" s="17" t="inlineStr">
        <is>
          <t>69%</t>
        </is>
      </c>
      <c r="F24" s="3" t="n"/>
      <c r="G24" s="4" t="n"/>
      <c r="H24" s="17" t="inlineStr">
        <is>
          <t>85%</t>
        </is>
      </c>
      <c r="I24" s="3" t="n"/>
      <c r="J24" s="4" t="n"/>
      <c r="K24" s="17" t="inlineStr">
        <is>
          <t>77%</t>
        </is>
      </c>
      <c r="L24" s="3" t="n"/>
      <c r="M24" s="4" t="n"/>
    </row>
    <row r="25" ht="16" customHeight="1">
      <c r="B25" s="16" t="inlineStr">
        <is>
          <t>Nov</t>
        </is>
      </c>
      <c r="C25" s="3" t="n"/>
      <c r="D25" s="4" t="n"/>
      <c r="E25" s="16" t="inlineStr">
        <is>
          <t>70%</t>
        </is>
      </c>
      <c r="F25" s="3" t="n"/>
      <c r="G25" s="4" t="n"/>
      <c r="H25" s="16" t="inlineStr">
        <is>
          <t>87%</t>
        </is>
      </c>
      <c r="I25" s="3" t="n"/>
      <c r="J25" s="4" t="n"/>
      <c r="K25" s="16" t="inlineStr">
        <is>
          <t>77%</t>
        </is>
      </c>
      <c r="L25" s="3" t="n"/>
      <c r="M25" s="4" t="n"/>
    </row>
    <row r="26" ht="16" customHeight="1">
      <c r="B26" s="17" t="inlineStr">
        <is>
          <t>Dec</t>
        </is>
      </c>
      <c r="C26" s="3" t="n"/>
      <c r="D26" s="4" t="n"/>
      <c r="E26" s="17" t="inlineStr">
        <is>
          <t>71%</t>
        </is>
      </c>
      <c r="F26" s="3" t="n"/>
      <c r="G26" s="4" t="n"/>
      <c r="H26" s="17" t="inlineStr">
        <is>
          <t>86%</t>
        </is>
      </c>
      <c r="I26" s="3" t="n"/>
      <c r="J26" s="4" t="n"/>
      <c r="K26" s="17" t="inlineStr">
        <is>
          <t>77%</t>
        </is>
      </c>
      <c r="L26" s="3" t="n"/>
      <c r="M26" s="4" t="n"/>
    </row>
    <row r="28" ht="8" customHeight="1"/>
    <row r="29" ht="18" customHeight="1">
      <c r="B29" s="2" t="inlineStr">
        <is>
          <t>ABC-XYZ PORTFOLIO MATRIX — SKU COUNTS (Total: ~14,000 SKUs)</t>
        </is>
      </c>
      <c r="C29" s="3" t="n"/>
      <c r="D29" s="3" t="n"/>
      <c r="E29" s="3" t="n"/>
      <c r="F29" s="3" t="n"/>
      <c r="G29" s="3" t="n"/>
      <c r="H29" s="3" t="n"/>
      <c r="I29" s="3" t="n"/>
      <c r="J29" s="3" t="n"/>
      <c r="K29" s="3" t="n"/>
      <c r="L29" s="3" t="n"/>
      <c r="M29" s="3" t="n"/>
      <c r="N29" s="4" t="n"/>
    </row>
    <row r="30" ht="18" customHeight="1">
      <c r="B30" s="13" t="inlineStr">
        <is>
          <t>X — Stable</t>
        </is>
      </c>
      <c r="C30" s="3" t="n"/>
      <c r="D30" s="3" t="n"/>
      <c r="E30" s="4" t="n"/>
      <c r="F30" s="13" t="inlineStr">
        <is>
          <t>Y — Variable</t>
        </is>
      </c>
      <c r="G30" s="3" t="n"/>
      <c r="H30" s="3" t="n"/>
      <c r="I30" s="4" t="n"/>
      <c r="J30" s="13" t="inlineStr">
        <is>
          <t>Z — Intermittent</t>
        </is>
      </c>
      <c r="K30" s="3" t="n"/>
      <c r="L30" s="3" t="n"/>
      <c r="M30" s="4" t="n"/>
    </row>
    <row r="31" ht="54" customHeight="1">
      <c r="B31" s="18" t="inlineStr">
        <is>
          <t>A — High Value</t>
        </is>
      </c>
      <c r="C31" s="19" t="inlineStr">
        <is>
          <t>AX
1,250 SKUs
~9% portfolio</t>
        </is>
      </c>
      <c r="D31" s="3" t="n"/>
      <c r="E31" s="4" t="n"/>
      <c r="G31" s="20" t="inlineStr">
        <is>
          <t>AY
820 SKUs
~6% portfolio</t>
        </is>
      </c>
      <c r="H31" s="3" t="n"/>
      <c r="I31" s="4" t="n"/>
      <c r="K31" s="21" t="inlineStr">
        <is>
          <t>AZ
310 SKUs
~2% portfolio</t>
        </is>
      </c>
      <c r="L31" s="3" t="n"/>
      <c r="M31" s="4" t="n"/>
    </row>
    <row r="32" ht="54" customHeight="1">
      <c r="B32" s="18" t="inlineStr">
        <is>
          <t>B — Medium</t>
        </is>
      </c>
      <c r="C32" s="22" t="inlineStr">
        <is>
          <t>BX
2,100 SKUs
~15%</t>
        </is>
      </c>
      <c r="D32" s="3" t="n"/>
      <c r="E32" s="4" t="n"/>
      <c r="G32" s="23" t="inlineStr">
        <is>
          <t>BY
1,840 SKUs
~13%</t>
        </is>
      </c>
      <c r="H32" s="3" t="n"/>
      <c r="I32" s="4" t="n"/>
      <c r="K32" s="24" t="inlineStr">
        <is>
          <t>BZ
920 SKUs
~7%</t>
        </is>
      </c>
      <c r="L32" s="3" t="n"/>
      <c r="M32" s="4" t="n"/>
    </row>
    <row r="33" ht="54" customHeight="1">
      <c r="B33" s="18" t="inlineStr">
        <is>
          <t>C — Low Value</t>
        </is>
      </c>
      <c r="C33" s="25" t="inlineStr">
        <is>
          <t>CX
1,200 SKUs
~4%</t>
        </is>
      </c>
      <c r="D33" s="3" t="n"/>
      <c r="E33" s="4" t="n"/>
      <c r="G33" s="26" t="inlineStr">
        <is>
          <t>CY
3,100 SKUs
~8%</t>
        </is>
      </c>
      <c r="H33" s="3" t="n"/>
      <c r="I33" s="4" t="n"/>
      <c r="K33" s="27" t="inlineStr">
        <is>
          <t>CZ
2,460 SKUs
SMOB RISK</t>
        </is>
      </c>
      <c r="L33" s="3" t="n"/>
      <c r="M33" s="4" t="n"/>
    </row>
  </sheetData>
  <mergeCells count="79">
    <mergeCell ref="K32:M32"/>
    <mergeCell ref="C31:E31"/>
    <mergeCell ref="H17:J17"/>
    <mergeCell ref="E15:G15"/>
    <mergeCell ref="B5:N5"/>
    <mergeCell ref="H22:J22"/>
    <mergeCell ref="H19:J19"/>
    <mergeCell ref="E26:G26"/>
    <mergeCell ref="K17:M17"/>
    <mergeCell ref="B6:D6"/>
    <mergeCell ref="B20:D20"/>
    <mergeCell ref="E16:G16"/>
    <mergeCell ref="E18:G18"/>
    <mergeCell ref="J30:M30"/>
    <mergeCell ref="K16:M16"/>
    <mergeCell ref="K25:M25"/>
    <mergeCell ref="B13:N13"/>
    <mergeCell ref="K20:M20"/>
    <mergeCell ref="H21:J21"/>
    <mergeCell ref="E20:G20"/>
    <mergeCell ref="K22:M22"/>
    <mergeCell ref="K31:M31"/>
    <mergeCell ref="B17:D17"/>
    <mergeCell ref="E6:G6"/>
    <mergeCell ref="H16:J16"/>
    <mergeCell ref="B19:D19"/>
    <mergeCell ref="K14:M14"/>
    <mergeCell ref="K23:M23"/>
    <mergeCell ref="B31"/>
    <mergeCell ref="C32:E32"/>
    <mergeCell ref="J10:M10"/>
    <mergeCell ref="G32:I32"/>
    <mergeCell ref="F30:I30"/>
    <mergeCell ref="K18:M18"/>
    <mergeCell ref="H20:J20"/>
    <mergeCell ref="K33:M33"/>
    <mergeCell ref="E24:G24"/>
    <mergeCell ref="C33:E33"/>
    <mergeCell ref="E17:G17"/>
    <mergeCell ref="B21:D21"/>
    <mergeCell ref="B29:N29"/>
    <mergeCell ref="H6:J6"/>
    <mergeCell ref="B14:D14"/>
    <mergeCell ref="E19:G19"/>
    <mergeCell ref="B23:D23"/>
    <mergeCell ref="B33"/>
    <mergeCell ref="F10:I10"/>
    <mergeCell ref="H15:J15"/>
    <mergeCell ref="H24:J24"/>
    <mergeCell ref="E22:G22"/>
    <mergeCell ref="H18:J18"/>
    <mergeCell ref="G31:I31"/>
    <mergeCell ref="E21:G21"/>
    <mergeCell ref="H26:J26"/>
    <mergeCell ref="B25:D25"/>
    <mergeCell ref="B2:N2"/>
    <mergeCell ref="K15:M15"/>
    <mergeCell ref="K24:M24"/>
    <mergeCell ref="E14:G14"/>
    <mergeCell ref="B22:D22"/>
    <mergeCell ref="E23:G23"/>
    <mergeCell ref="K21:M21"/>
    <mergeCell ref="K26:M26"/>
    <mergeCell ref="B9:N9"/>
    <mergeCell ref="B30:E30"/>
    <mergeCell ref="G33:I33"/>
    <mergeCell ref="B32"/>
    <mergeCell ref="B15:D15"/>
    <mergeCell ref="B24:D24"/>
    <mergeCell ref="E25:G25"/>
    <mergeCell ref="K19:M19"/>
    <mergeCell ref="H14:J14"/>
    <mergeCell ref="K6:M6"/>
    <mergeCell ref="H23:J23"/>
    <mergeCell ref="B26:D26"/>
    <mergeCell ref="B16:D16"/>
    <mergeCell ref="B18:D18"/>
    <mergeCell ref="B10:E10"/>
    <mergeCell ref="H25:J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2"/>
  <sheetViews>
    <sheetView showGridLines="0" workbookViewId="0">
      <pane ySplit="2" topLeftCell="A3" activePane="bottomLeft" state="frozen"/>
      <selection pane="bottomLeft" activeCell="A1" sqref="A1"/>
    </sheetView>
  </sheetViews>
  <sheetFormatPr baseColWidth="8" defaultRowHeight="15"/>
  <cols>
    <col width="16" customWidth="1" min="1" max="1"/>
    <col width="28" customWidth="1" min="2" max="2"/>
    <col width="16" customWidth="1" min="3" max="3"/>
    <col width="12" customWidth="1" min="4" max="4"/>
    <col width="14" customWidth="1" min="5" max="5"/>
    <col width="16" customWidth="1" min="6" max="6"/>
    <col width="16" customWidth="1" min="7" max="7"/>
    <col width="14" customWidth="1" min="8" max="8"/>
    <col width="10" customWidth="1" min="9" max="9"/>
    <col width="14" customWidth="1" min="10" max="10"/>
    <col width="18" customWidth="1" min="11" max="11"/>
    <col width="8" customWidth="1" min="12" max="12"/>
    <col width="10" customWidth="1" min="13" max="13"/>
    <col width="13" customWidth="1" min="14" max="14"/>
    <col width="24" customWidth="1" min="15" max="15"/>
    <col width="12" customWidth="1" min="16" max="16"/>
    <col width="16" customWidth="1" min="17" max="17"/>
    <col width="16" customWidth="1" min="18" max="18"/>
  </cols>
  <sheetData>
    <row r="1" ht="28" customHeight="1">
      <c r="A1" s="28" t="inlineStr">
        <is>
          <t>FUSO MEA — ABC-XYZ MASTER CLASSIFICATION (50 Sample SKUs)</t>
        </is>
      </c>
      <c r="T1" s="29" t="inlineStr">
        <is>
          <t>Class</t>
        </is>
      </c>
      <c r="U1" s="29" t="inlineStr">
        <is>
          <t>Strategy</t>
        </is>
      </c>
    </row>
    <row r="2" ht="36" customHeight="1">
      <c r="A2" s="18" t="inlineStr">
        <is>
          <t>Part Number</t>
        </is>
      </c>
      <c r="B2" s="18" t="inlineStr">
        <is>
          <t>Part Description</t>
        </is>
      </c>
      <c r="C2" s="18" t="inlineStr">
        <is>
          <t>Vehicle Model</t>
        </is>
      </c>
      <c r="D2" s="18" t="inlineStr">
        <is>
          <t>Supply Origin</t>
        </is>
      </c>
      <c r="E2" s="18" t="inlineStr">
        <is>
          <t>Unit Cost (AED)</t>
        </is>
      </c>
      <c r="F2" s="18" t="inlineStr">
        <is>
          <t>12M Demand (Units)</t>
        </is>
      </c>
      <c r="G2" s="18" t="inlineStr">
        <is>
          <t>Annual Value (AED)</t>
        </is>
      </c>
      <c r="H2" s="18" t="inlineStr">
        <is>
          <t>Cumul Value %</t>
        </is>
      </c>
      <c r="I2" s="18" t="inlineStr">
        <is>
          <t>ABC Class</t>
        </is>
      </c>
      <c r="J2" s="18" t="inlineStr">
        <is>
          <t>Demand Std Dev</t>
        </is>
      </c>
      <c r="K2" s="18" t="inlineStr">
        <is>
          <t>Mean Monthly Demand</t>
        </is>
      </c>
      <c r="L2" s="18" t="inlineStr">
        <is>
          <t>CV</t>
        </is>
      </c>
      <c r="M2" s="18" t="inlineStr">
        <is>
          <t>XYZ Class</t>
        </is>
      </c>
      <c r="N2" s="18" t="inlineStr">
        <is>
          <t>Combined Class</t>
        </is>
      </c>
      <c r="O2" s="18" t="inlineStr">
        <is>
          <t>Replenishment Strategy</t>
        </is>
      </c>
      <c r="P2" s="18" t="inlineStr">
        <is>
          <t>SMOB Flag</t>
        </is>
      </c>
      <c r="Q2" s="18" t="inlineStr">
        <is>
          <t>Months Zero Demand</t>
        </is>
      </c>
      <c r="R2" s="18" t="inlineStr">
        <is>
          <t>Disposition Action</t>
        </is>
      </c>
      <c r="T2" t="inlineStr">
        <is>
          <t>AX</t>
        </is>
      </c>
      <c r="U2" t="inlineStr">
        <is>
          <t>Min-Max / Continuous Review</t>
        </is>
      </c>
    </row>
    <row r="3" ht="15" customHeight="1">
      <c r="A3" s="30" t="inlineStr">
        <is>
          <t>FUSO-CLT-006</t>
        </is>
      </c>
      <c r="B3" s="30" t="inlineStr">
        <is>
          <t>Clutch Disc Assy</t>
        </is>
      </c>
      <c r="C3" s="30" t="inlineStr">
        <is>
          <t>Canter FE</t>
        </is>
      </c>
      <c r="D3" s="30" t="inlineStr">
        <is>
          <t>Japan</t>
        </is>
      </c>
      <c r="E3" s="31" t="n">
        <v>420</v>
      </c>
      <c r="F3" s="30" t="n">
        <v>600</v>
      </c>
      <c r="G3" s="32">
        <f>E3*F3</f>
        <v/>
      </c>
      <c r="H3" s="33">
        <f>G3/SUM($G$3:$G$52)</f>
        <v/>
      </c>
      <c r="I3" s="30">
        <f>IF(H3&lt;=0.7,"A",IF(H3&lt;=0.9,"B","C"))</f>
        <v/>
      </c>
      <c r="J3" s="30" t="n">
        <v>8</v>
      </c>
      <c r="K3" s="34">
        <f>F3/12</f>
        <v/>
      </c>
      <c r="L3" s="34">
        <f>IF(K3=0,9999,J3/K3)</f>
        <v/>
      </c>
      <c r="M3" s="30">
        <f>IF(L3&lt;0.1,"X",IF(L3&lt;0.3,"Y","Z"))</f>
        <v/>
      </c>
      <c r="N3" s="30">
        <f>I3&amp;M3</f>
        <v/>
      </c>
      <c r="O3" s="30">
        <f>IFERROR(VLOOKUP(N3,$T$2:$U$10,2,FALSE),"Manual")</f>
        <v/>
      </c>
      <c r="P3" s="30">
        <f>IF(AND(M3="Z",I3="C"),"SMOB RISK","OK")</f>
        <v/>
      </c>
      <c r="Q3" s="30" t="n">
        <v>0</v>
      </c>
      <c r="R3" s="30">
        <f>IF(AND(P3="SMOB RISK",Q3&gt;6),"LIQUIDATE",IF(Q3&gt;3,"REVIEW","ACTIVE"))</f>
        <v/>
      </c>
      <c r="T3" t="inlineStr">
        <is>
          <t>AY</t>
        </is>
      </c>
      <c r="U3" t="inlineStr">
        <is>
          <t>(R,S) Periodic Review</t>
        </is>
      </c>
    </row>
    <row r="4" ht="15" customHeight="1">
      <c r="A4" s="35" t="inlineStr">
        <is>
          <t>FUSO-SHK-012</t>
        </is>
      </c>
      <c r="B4" s="35" t="inlineStr">
        <is>
          <t>Shock Absorber Front</t>
        </is>
      </c>
      <c r="C4" s="35" t="inlineStr">
        <is>
          <t>Fighter FM</t>
        </is>
      </c>
      <c r="D4" s="35" t="inlineStr">
        <is>
          <t>Japan</t>
        </is>
      </c>
      <c r="E4" s="36" t="n">
        <v>680</v>
      </c>
      <c r="F4" s="35" t="n">
        <v>360</v>
      </c>
      <c r="G4" s="37">
        <f>E4*F4</f>
        <v/>
      </c>
      <c r="H4" s="38">
        <f>H3+G4/SUM($G$3:$G$52)</f>
        <v/>
      </c>
      <c r="I4" s="35">
        <f>IF(H4&lt;=0.7,"A",IF(H4&lt;=0.9,"B","C"))</f>
        <v/>
      </c>
      <c r="J4" s="35" t="n">
        <v>22</v>
      </c>
      <c r="K4" s="39">
        <f>F4/12</f>
        <v/>
      </c>
      <c r="L4" s="39">
        <f>IF(K4=0,9999,J4/K4)</f>
        <v/>
      </c>
      <c r="M4" s="35">
        <f>IF(L4&lt;0.1,"X",IF(L4&lt;0.3,"Y","Z"))</f>
        <v/>
      </c>
      <c r="N4" s="35">
        <f>I4&amp;M4</f>
        <v/>
      </c>
      <c r="O4" s="35">
        <f>IFERROR(VLOOKUP(N4,$T$2:$U$10,2,FALSE),"Manual")</f>
        <v/>
      </c>
      <c r="P4" s="35">
        <f>IF(AND(M4="Z",I4="C"),"SMOB RISK","OK")</f>
        <v/>
      </c>
      <c r="Q4" s="35" t="n">
        <v>0</v>
      </c>
      <c r="R4" s="35">
        <f>IF(AND(P4="SMOB RISK",Q4&gt;6),"LIQUIDATE",IF(Q4&gt;3,"REVIEW","ACTIVE"))</f>
        <v/>
      </c>
      <c r="T4" t="inlineStr">
        <is>
          <t>AZ</t>
        </is>
      </c>
      <c r="U4" t="inlineStr">
        <is>
          <t>Kanban / On-Demand</t>
        </is>
      </c>
    </row>
    <row r="5" ht="15" customHeight="1">
      <c r="A5" s="35" t="inlineStr">
        <is>
          <t>FUSO-ALT-011</t>
        </is>
      </c>
      <c r="B5" s="35" t="inlineStr">
        <is>
          <t>Alternator 24V</t>
        </is>
      </c>
      <c r="C5" s="35" t="inlineStr">
        <is>
          <t>Fighter FM</t>
        </is>
      </c>
      <c r="D5" s="35" t="inlineStr">
        <is>
          <t>Japan</t>
        </is>
      </c>
      <c r="E5" s="36" t="n">
        <v>950</v>
      </c>
      <c r="F5" s="35" t="n">
        <v>240</v>
      </c>
      <c r="G5" s="37">
        <f>E5*F5</f>
        <v/>
      </c>
      <c r="H5" s="38">
        <f>H4+G5/SUM($G$3:$G$52)</f>
        <v/>
      </c>
      <c r="I5" s="35">
        <f>IF(H5&lt;=0.7,"A",IF(H5&lt;=0.9,"B","C"))</f>
        <v/>
      </c>
      <c r="J5" s="35" t="n">
        <v>18</v>
      </c>
      <c r="K5" s="39">
        <f>F5/12</f>
        <v/>
      </c>
      <c r="L5" s="39">
        <f>IF(K5=0,9999,J5/K5)</f>
        <v/>
      </c>
      <c r="M5" s="35">
        <f>IF(L5&lt;0.1,"X",IF(L5&lt;0.3,"Y","Z"))</f>
        <v/>
      </c>
      <c r="N5" s="35">
        <f>I5&amp;M5</f>
        <v/>
      </c>
      <c r="O5" s="35">
        <f>IFERROR(VLOOKUP(N5,$T$2:$U$10,2,FALSE),"Manual")</f>
        <v/>
      </c>
      <c r="P5" s="35">
        <f>IF(AND(M5="Z",I5="C"),"SMOB RISK","OK")</f>
        <v/>
      </c>
      <c r="Q5" s="35" t="n">
        <v>1</v>
      </c>
      <c r="R5" s="35">
        <f>IF(AND(P5="SMOB RISK",Q5&gt;6),"LIQUIDATE",IF(Q5&gt;3,"REVIEW","ACTIVE"))</f>
        <v/>
      </c>
      <c r="T5" t="inlineStr">
        <is>
          <t>BX</t>
        </is>
      </c>
      <c r="U5" t="inlineStr">
        <is>
          <t>Min-Max / Periodic</t>
        </is>
      </c>
    </row>
    <row r="6" ht="15" customHeight="1">
      <c r="A6" s="35" t="inlineStr">
        <is>
          <t>FUSO-INJ-013</t>
        </is>
      </c>
      <c r="B6" s="35" t="inlineStr">
        <is>
          <t>Injector Nozzle</t>
        </is>
      </c>
      <c r="C6" s="35" t="inlineStr">
        <is>
          <t>Fighter FM</t>
        </is>
      </c>
      <c r="D6" s="35" t="inlineStr">
        <is>
          <t>Japan</t>
        </is>
      </c>
      <c r="E6" s="36" t="n">
        <v>1200</v>
      </c>
      <c r="F6" s="35" t="n">
        <v>180</v>
      </c>
      <c r="G6" s="37">
        <f>E6*F6</f>
        <v/>
      </c>
      <c r="H6" s="38">
        <f>H5+G6/SUM($G$3:$G$52)</f>
        <v/>
      </c>
      <c r="I6" s="35">
        <f>IF(H6&lt;=0.7,"A",IF(H6&lt;=0.9,"B","C"))</f>
        <v/>
      </c>
      <c r="J6" s="35" t="n">
        <v>28</v>
      </c>
      <c r="K6" s="39">
        <f>F6/12</f>
        <v/>
      </c>
      <c r="L6" s="39">
        <f>IF(K6=0,9999,J6/K6)</f>
        <v/>
      </c>
      <c r="M6" s="35">
        <f>IF(L6&lt;0.1,"X",IF(L6&lt;0.3,"Y","Z"))</f>
        <v/>
      </c>
      <c r="N6" s="35">
        <f>I6&amp;M6</f>
        <v/>
      </c>
      <c r="O6" s="35">
        <f>IFERROR(VLOOKUP(N6,$T$2:$U$10,2,FALSE),"Manual")</f>
        <v/>
      </c>
      <c r="P6" s="35">
        <f>IF(AND(M6="Z",I6="C"),"SMOB RISK","OK")</f>
        <v/>
      </c>
      <c r="Q6" s="35" t="n">
        <v>2</v>
      </c>
      <c r="R6" s="35">
        <f>IF(AND(P6="SMOB RISK",Q6&gt;6),"LIQUIDATE",IF(Q6&gt;3,"REVIEW","ACTIVE"))</f>
        <v/>
      </c>
      <c r="T6" t="inlineStr">
        <is>
          <t>BY</t>
        </is>
      </c>
      <c r="U6" t="inlineStr">
        <is>
          <t>(R,S) Periodic</t>
        </is>
      </c>
    </row>
    <row r="7" ht="15" customHeight="1">
      <c r="A7" s="35" t="inlineStr">
        <is>
          <t>FUSO-STR-016</t>
        </is>
      </c>
      <c r="B7" s="35" t="inlineStr">
        <is>
          <t>Steering Pump</t>
        </is>
      </c>
      <c r="C7" s="35" t="inlineStr">
        <is>
          <t>Fighter FM</t>
        </is>
      </c>
      <c r="D7" s="35" t="inlineStr">
        <is>
          <t>Japan</t>
        </is>
      </c>
      <c r="E7" s="36" t="n">
        <v>1100</v>
      </c>
      <c r="F7" s="35" t="n">
        <v>168</v>
      </c>
      <c r="G7" s="37">
        <f>E7*F7</f>
        <v/>
      </c>
      <c r="H7" s="38">
        <f>H6+G7/SUM($G$3:$G$52)</f>
        <v/>
      </c>
      <c r="I7" s="35">
        <f>IF(H7&lt;=0.7,"A",IF(H7&lt;=0.9,"B","C"))</f>
        <v/>
      </c>
      <c r="J7" s="35" t="n">
        <v>24</v>
      </c>
      <c r="K7" s="39">
        <f>F7/12</f>
        <v/>
      </c>
      <c r="L7" s="39">
        <f>IF(K7=0,9999,J7/K7)</f>
        <v/>
      </c>
      <c r="M7" s="35">
        <f>IF(L7&lt;0.1,"X",IF(L7&lt;0.3,"Y","Z"))</f>
        <v/>
      </c>
      <c r="N7" s="35">
        <f>I7&amp;M7</f>
        <v/>
      </c>
      <c r="O7" s="35">
        <f>IFERROR(VLOOKUP(N7,$T$2:$U$10,2,FALSE),"Manual")</f>
        <v/>
      </c>
      <c r="P7" s="35">
        <f>IF(AND(M7="Z",I7="C"),"SMOB RISK","OK")</f>
        <v/>
      </c>
      <c r="Q7" s="35" t="n">
        <v>2</v>
      </c>
      <c r="R7" s="35">
        <f>IF(AND(P7="SMOB RISK",Q7&gt;6),"LIQUIDATE",IF(Q7&gt;3,"REVIEW","ACTIVE"))</f>
        <v/>
      </c>
      <c r="T7" t="inlineStr">
        <is>
          <t>BZ</t>
        </is>
      </c>
      <c r="U7" t="inlineStr">
        <is>
          <t>On-Demand / Blanket PO</t>
        </is>
      </c>
    </row>
    <row r="8" ht="15" customHeight="1">
      <c r="A8" s="30" t="inlineStr">
        <is>
          <t>FUSO-WPM-007</t>
        </is>
      </c>
      <c r="B8" s="30" t="inlineStr">
        <is>
          <t>Water Pump Assy</t>
        </is>
      </c>
      <c r="C8" s="30" t="inlineStr">
        <is>
          <t>Canter FE</t>
        </is>
      </c>
      <c r="D8" s="30" t="inlineStr">
        <is>
          <t>Japan</t>
        </is>
      </c>
      <c r="E8" s="31" t="n">
        <v>380</v>
      </c>
      <c r="F8" s="30" t="n">
        <v>480</v>
      </c>
      <c r="G8" s="32">
        <f>E8*F8</f>
        <v/>
      </c>
      <c r="H8" s="33">
        <f>H7+G8/SUM($G$3:$G$52)</f>
        <v/>
      </c>
      <c r="I8" s="30">
        <f>IF(H8&lt;=0.7,"A",IF(H8&lt;=0.9,"B","C"))</f>
        <v/>
      </c>
      <c r="J8" s="30" t="n">
        <v>7</v>
      </c>
      <c r="K8" s="34">
        <f>F8/12</f>
        <v/>
      </c>
      <c r="L8" s="34">
        <f>IF(K8=0,9999,J8/K8)</f>
        <v/>
      </c>
      <c r="M8" s="30">
        <f>IF(L8&lt;0.1,"X",IF(L8&lt;0.3,"Y","Z"))</f>
        <v/>
      </c>
      <c r="N8" s="30">
        <f>I8&amp;M8</f>
        <v/>
      </c>
      <c r="O8" s="30">
        <f>IFERROR(VLOOKUP(N8,$T$2:$U$10,2,FALSE),"Manual")</f>
        <v/>
      </c>
      <c r="P8" s="30">
        <f>IF(AND(M8="Z",I8="C"),"SMOB RISK","OK")</f>
        <v/>
      </c>
      <c r="Q8" s="30" t="n">
        <v>1</v>
      </c>
      <c r="R8" s="30">
        <f>IF(AND(P8="SMOB RISK",Q8&gt;6),"LIQUIDATE",IF(Q8&gt;3,"REVIEW","ACTIVE"))</f>
        <v/>
      </c>
      <c r="T8" t="inlineStr">
        <is>
          <t>CX</t>
        </is>
      </c>
      <c r="U8" t="inlineStr">
        <is>
          <t>Min-Max Low</t>
        </is>
      </c>
    </row>
    <row r="9" ht="15" customHeight="1">
      <c r="A9" s="35" t="inlineStr">
        <is>
          <t>FUSO-TRB-021</t>
        </is>
      </c>
      <c r="B9" s="35" t="inlineStr">
        <is>
          <t>Turbocharger Assy</t>
        </is>
      </c>
      <c r="C9" s="35" t="inlineStr">
        <is>
          <t>Super Great V</t>
        </is>
      </c>
      <c r="D9" s="35" t="inlineStr">
        <is>
          <t>Japan</t>
        </is>
      </c>
      <c r="E9" s="36" t="n">
        <v>3800</v>
      </c>
      <c r="F9" s="35" t="n">
        <v>48</v>
      </c>
      <c r="G9" s="37">
        <f>E9*F9</f>
        <v/>
      </c>
      <c r="H9" s="38">
        <f>H8+G9/SUM($G$3:$G$52)</f>
        <v/>
      </c>
      <c r="I9" s="35">
        <f>IF(H9&lt;=0.7,"A",IF(H9&lt;=0.9,"B","C"))</f>
        <v/>
      </c>
      <c r="J9" s="35" t="n">
        <v>18</v>
      </c>
      <c r="K9" s="39">
        <f>F9/12</f>
        <v/>
      </c>
      <c r="L9" s="39">
        <f>IF(K9=0,9999,J9/K9)</f>
        <v/>
      </c>
      <c r="M9" s="35">
        <f>IF(L9&lt;0.1,"X",IF(L9&lt;0.3,"Y","Z"))</f>
        <v/>
      </c>
      <c r="N9" s="35">
        <f>I9&amp;M9</f>
        <v/>
      </c>
      <c r="O9" s="35">
        <f>IFERROR(VLOOKUP(N9,$T$2:$U$10,2,FALSE),"Manual")</f>
        <v/>
      </c>
      <c r="P9" s="35">
        <f>IF(AND(M9="Z",I9="C"),"SMOB RISK","OK")</f>
        <v/>
      </c>
      <c r="Q9" s="35" t="n">
        <v>4</v>
      </c>
      <c r="R9" s="35">
        <f>IF(AND(P9="SMOB RISK",Q9&gt;6),"LIQUIDATE",IF(Q9&gt;3,"REVIEW","ACTIVE"))</f>
        <v/>
      </c>
      <c r="T9" t="inlineStr">
        <is>
          <t>CY</t>
        </is>
      </c>
      <c r="U9" t="inlineStr">
        <is>
          <t>Periodic Low</t>
        </is>
      </c>
    </row>
    <row r="10" ht="15" customHeight="1">
      <c r="A10" s="35" t="inlineStr">
        <is>
          <t>FUSO-FUL-017</t>
        </is>
      </c>
      <c r="B10" s="35" t="inlineStr">
        <is>
          <t>Fuel Pump Assy</t>
        </is>
      </c>
      <c r="C10" s="35" t="inlineStr">
        <is>
          <t>Fighter FM</t>
        </is>
      </c>
      <c r="D10" s="35" t="inlineStr">
        <is>
          <t>Japan</t>
        </is>
      </c>
      <c r="E10" s="36" t="n">
        <v>780</v>
      </c>
      <c r="F10" s="35" t="n">
        <v>228</v>
      </c>
      <c r="G10" s="37">
        <f>E10*F10</f>
        <v/>
      </c>
      <c r="H10" s="38">
        <f>H9+G10/SUM($G$3:$G$52)</f>
        <v/>
      </c>
      <c r="I10" s="35">
        <f>IF(H10&lt;=0.7,"A",IF(H10&lt;=0.9,"B","C"))</f>
        <v/>
      </c>
      <c r="J10" s="35" t="n">
        <v>20</v>
      </c>
      <c r="K10" s="39">
        <f>F10/12</f>
        <v/>
      </c>
      <c r="L10" s="39">
        <f>IF(K10=0,9999,J10/K10)</f>
        <v/>
      </c>
      <c r="M10" s="35">
        <f>IF(L10&lt;0.1,"X",IF(L10&lt;0.3,"Y","Z"))</f>
        <v/>
      </c>
      <c r="N10" s="35">
        <f>I10&amp;M10</f>
        <v/>
      </c>
      <c r="O10" s="35">
        <f>IFERROR(VLOOKUP(N10,$T$2:$U$10,2,FALSE),"Manual")</f>
        <v/>
      </c>
      <c r="P10" s="35">
        <f>IF(AND(M10="Z",I10="C"),"SMOB RISK","OK")</f>
        <v/>
      </c>
      <c r="Q10" s="35" t="n">
        <v>1</v>
      </c>
      <c r="R10" s="35">
        <f>IF(AND(P10="SMOB RISK",Q10&gt;6),"LIQUIDATE",IF(Q10&gt;3,"REVIEW","ACTIVE"))</f>
        <v/>
      </c>
      <c r="T10" t="inlineStr">
        <is>
          <t>CZ</t>
        </is>
      </c>
      <c r="U10" t="inlineStr">
        <is>
          <t>Consignment / SMOB Review</t>
        </is>
      </c>
    </row>
    <row r="11" ht="15" customHeight="1">
      <c r="A11" s="35" t="inlineStr">
        <is>
          <t>FUSO-EXH-015</t>
        </is>
      </c>
      <c r="B11" s="35" t="inlineStr">
        <is>
          <t>Exhaust Manifold</t>
        </is>
      </c>
      <c r="C11" s="35" t="inlineStr">
        <is>
          <t>Fighter FM</t>
        </is>
      </c>
      <c r="D11" s="35" t="inlineStr">
        <is>
          <t>Japan</t>
        </is>
      </c>
      <c r="E11" s="36" t="n">
        <v>840</v>
      </c>
      <c r="F11" s="35" t="n">
        <v>210</v>
      </c>
      <c r="G11" s="37">
        <f>E11*F11</f>
        <v/>
      </c>
      <c r="H11" s="38">
        <f>H10+G11/SUM($G$3:$G$52)</f>
        <v/>
      </c>
      <c r="I11" s="35">
        <f>IF(H11&lt;=0.7,"A",IF(H11&lt;=0.9,"B","C"))</f>
        <v/>
      </c>
      <c r="J11" s="35" t="n">
        <v>15</v>
      </c>
      <c r="K11" s="39">
        <f>F11/12</f>
        <v/>
      </c>
      <c r="L11" s="39">
        <f>IF(K11=0,9999,J11/K11)</f>
        <v/>
      </c>
      <c r="M11" s="35">
        <f>IF(L11&lt;0.1,"X",IF(L11&lt;0.3,"Y","Z"))</f>
        <v/>
      </c>
      <c r="N11" s="35">
        <f>I11&amp;M11</f>
        <v/>
      </c>
      <c r="O11" s="35">
        <f>IFERROR(VLOOKUP(N11,$T$2:$U$10,2,FALSE),"Manual")</f>
        <v/>
      </c>
      <c r="P11" s="35">
        <f>IF(AND(M11="Z",I11="C"),"SMOB RISK","OK")</f>
        <v/>
      </c>
      <c r="Q11" s="35" t="n">
        <v>1</v>
      </c>
      <c r="R11" s="35">
        <f>IF(AND(P11="SMOB RISK",Q11&gt;6),"LIQUIDATE",IF(Q11&gt;3,"REVIEW","ACTIVE"))</f>
        <v/>
      </c>
    </row>
    <row r="12" ht="15" customHeight="1">
      <c r="A12" s="35" t="inlineStr">
        <is>
          <t>FUSO-TRN-014</t>
        </is>
      </c>
      <c r="B12" s="35" t="inlineStr">
        <is>
          <t>Transmission Mount</t>
        </is>
      </c>
      <c r="C12" s="35" t="inlineStr">
        <is>
          <t>Fighter FM</t>
        </is>
      </c>
      <c r="D12" s="35" t="inlineStr">
        <is>
          <t>Japan</t>
        </is>
      </c>
      <c r="E12" s="36" t="n">
        <v>560</v>
      </c>
      <c r="F12" s="35" t="n">
        <v>300</v>
      </c>
      <c r="G12" s="37">
        <f>E12*F12</f>
        <v/>
      </c>
      <c r="H12" s="38">
        <f>H11+G12/SUM($G$3:$G$52)</f>
        <v/>
      </c>
      <c r="I12" s="35">
        <f>IF(H12&lt;=0.7,"A",IF(H12&lt;=0.9,"B","C"))</f>
        <v/>
      </c>
      <c r="J12" s="35" t="n">
        <v>19</v>
      </c>
      <c r="K12" s="39">
        <f>F12/12</f>
        <v/>
      </c>
      <c r="L12" s="39">
        <f>IF(K12=0,9999,J12/K12)</f>
        <v/>
      </c>
      <c r="M12" s="35">
        <f>IF(L12&lt;0.1,"X",IF(L12&lt;0.3,"Y","Z"))</f>
        <v/>
      </c>
      <c r="N12" s="35">
        <f>I12&amp;M12</f>
        <v/>
      </c>
      <c r="O12" s="35">
        <f>IFERROR(VLOOKUP(N12,$T$2:$U$10,2,FALSE),"Manual")</f>
        <v/>
      </c>
      <c r="P12" s="35">
        <f>IF(AND(M12="Z",I12="C"),"SMOB RISK","OK")</f>
        <v/>
      </c>
      <c r="Q12" s="35" t="n">
        <v>1</v>
      </c>
      <c r="R12" s="35">
        <f>IF(AND(P12="SMOB RISK",Q12&gt;6),"LIQUIDATE",IF(Q12&gt;3,"REVIEW","ACTIVE"))</f>
        <v/>
      </c>
    </row>
    <row r="13" ht="15" customHeight="1">
      <c r="A13" s="30" t="inlineStr">
        <is>
          <t>FUSO-BRG-005</t>
        </is>
      </c>
      <c r="B13" s="30" t="inlineStr">
        <is>
          <t>Wheel Bearing Front</t>
        </is>
      </c>
      <c r="C13" s="30" t="inlineStr">
        <is>
          <t>Canter FE</t>
        </is>
      </c>
      <c r="D13" s="30" t="inlineStr">
        <is>
          <t>Japan</t>
        </is>
      </c>
      <c r="E13" s="31" t="n">
        <v>180</v>
      </c>
      <c r="F13" s="30" t="n">
        <v>840</v>
      </c>
      <c r="G13" s="32">
        <f>E13*F13</f>
        <v/>
      </c>
      <c r="H13" s="33">
        <f>H12+G13/SUM($G$3:$G$52)</f>
        <v/>
      </c>
      <c r="I13" s="30">
        <f>IF(H13&lt;=0.7,"A",IF(H13&lt;=0.9,"B","C"))</f>
        <v/>
      </c>
      <c r="J13" s="30" t="n">
        <v>9</v>
      </c>
      <c r="K13" s="34">
        <f>F13/12</f>
        <v/>
      </c>
      <c r="L13" s="34">
        <f>IF(K13=0,9999,J13/K13)</f>
        <v/>
      </c>
      <c r="M13" s="30">
        <f>IF(L13&lt;0.1,"X",IF(L13&lt;0.3,"Y","Z"))</f>
        <v/>
      </c>
      <c r="N13" s="30">
        <f>I13&amp;M13</f>
        <v/>
      </c>
      <c r="O13" s="30">
        <f>IFERROR(VLOOKUP(N13,$T$2:$U$10,2,FALSE),"Manual")</f>
        <v/>
      </c>
      <c r="P13" s="30">
        <f>IF(AND(M13="Z",I13="C"),"SMOB RISK","OK")</f>
        <v/>
      </c>
      <c r="Q13" s="30" t="n">
        <v>0</v>
      </c>
      <c r="R13" s="30">
        <f>IF(AND(P13="SMOB RISK",Q13&gt;6),"LIQUIDATE",IF(Q13&gt;3,"REVIEW","ACTIVE"))</f>
        <v/>
      </c>
    </row>
    <row r="14" ht="15" customHeight="1">
      <c r="A14" s="35" t="inlineStr">
        <is>
          <t>FUSO-DIF-018</t>
        </is>
      </c>
      <c r="B14" s="35" t="inlineStr">
        <is>
          <t>Differential Fluid Kit</t>
        </is>
      </c>
      <c r="C14" s="35" t="inlineStr">
        <is>
          <t>Fighter FM</t>
        </is>
      </c>
      <c r="D14" s="35" t="inlineStr">
        <is>
          <t>Japan</t>
        </is>
      </c>
      <c r="E14" s="36" t="n">
        <v>290</v>
      </c>
      <c r="F14" s="35" t="n">
        <v>480</v>
      </c>
      <c r="G14" s="37">
        <f>E14*F14</f>
        <v/>
      </c>
      <c r="H14" s="38">
        <f>H13+G14/SUM($G$3:$G$52)</f>
        <v/>
      </c>
      <c r="I14" s="35">
        <f>IF(H14&lt;=0.7,"A",IF(H14&lt;=0.9,"B","C"))</f>
        <v/>
      </c>
      <c r="J14" s="35" t="n">
        <v>16</v>
      </c>
      <c r="K14" s="39">
        <f>F14/12</f>
        <v/>
      </c>
      <c r="L14" s="39">
        <f>IF(K14=0,9999,J14/K14)</f>
        <v/>
      </c>
      <c r="M14" s="35">
        <f>IF(L14&lt;0.1,"X",IF(L14&lt;0.3,"Y","Z"))</f>
        <v/>
      </c>
      <c r="N14" s="35">
        <f>I14&amp;M14</f>
        <v/>
      </c>
      <c r="O14" s="35">
        <f>IFERROR(VLOOKUP(N14,$T$2:$U$10,2,FALSE),"Manual")</f>
        <v/>
      </c>
      <c r="P14" s="35">
        <f>IF(AND(M14="Z",I14="C"),"SMOB RISK","OK")</f>
        <v/>
      </c>
      <c r="Q14" s="35" t="n">
        <v>0</v>
      </c>
      <c r="R14" s="35">
        <f>IF(AND(P14="SMOB RISK",Q14&gt;6),"LIQUIDATE",IF(Q14&gt;3,"REVIEW","ACTIVE"))</f>
        <v/>
      </c>
    </row>
    <row r="15" ht="15" customHeight="1">
      <c r="A15" s="35" t="inlineStr">
        <is>
          <t>FUSO-CLR-020</t>
        </is>
      </c>
      <c r="B15" s="35" t="inlineStr">
        <is>
          <t>Coolant (20L drum)</t>
        </is>
      </c>
      <c r="C15" s="35" t="inlineStr">
        <is>
          <t>Fighter FM</t>
        </is>
      </c>
      <c r="D15" s="35" t="inlineStr">
        <is>
          <t>Chennai</t>
        </is>
      </c>
      <c r="E15" s="36" t="n">
        <v>220</v>
      </c>
      <c r="F15" s="35" t="n">
        <v>540</v>
      </c>
      <c r="G15" s="37">
        <f>E15*F15</f>
        <v/>
      </c>
      <c r="H15" s="38">
        <f>H14+G15/SUM($G$3:$G$52)</f>
        <v/>
      </c>
      <c r="I15" s="35">
        <f>IF(H15&lt;=0.7,"A",IF(H15&lt;=0.9,"B","C"))</f>
        <v/>
      </c>
      <c r="J15" s="35" t="n">
        <v>15</v>
      </c>
      <c r="K15" s="39">
        <f>F15/12</f>
        <v/>
      </c>
      <c r="L15" s="39">
        <f>IF(K15=0,9999,J15/K15)</f>
        <v/>
      </c>
      <c r="M15" s="35">
        <f>IF(L15&lt;0.1,"X",IF(L15&lt;0.3,"Y","Z"))</f>
        <v/>
      </c>
      <c r="N15" s="35">
        <f>I15&amp;M15</f>
        <v/>
      </c>
      <c r="O15" s="35">
        <f>IFERROR(VLOOKUP(N15,$T$2:$U$10,2,FALSE),"Manual")</f>
        <v/>
      </c>
      <c r="P15" s="35">
        <f>IF(AND(M15="Z",I15="C"),"SMOB RISK","OK")</f>
        <v/>
      </c>
      <c r="Q15" s="35" t="n">
        <v>0</v>
      </c>
      <c r="R15" s="35">
        <f>IF(AND(P15="SMOB RISK",Q15&gt;6),"LIQUIDATE",IF(Q15&gt;3,"REVIEW","ACTIVE"))</f>
        <v/>
      </c>
    </row>
    <row r="16" ht="15" customHeight="1">
      <c r="A16" s="30" t="inlineStr">
        <is>
          <t>FUSO-BLT-004</t>
        </is>
      </c>
      <c r="B16" s="30" t="inlineStr">
        <is>
          <t>Drive Belt Set</t>
        </is>
      </c>
      <c r="C16" s="30" t="inlineStr">
        <is>
          <t>Canter FE</t>
        </is>
      </c>
      <c r="D16" s="30" t="inlineStr">
        <is>
          <t>Chennai</t>
        </is>
      </c>
      <c r="E16" s="31" t="n">
        <v>120</v>
      </c>
      <c r="F16" s="30" t="n">
        <v>960</v>
      </c>
      <c r="G16" s="32">
        <f>E16*F16</f>
        <v/>
      </c>
      <c r="H16" s="33">
        <f>H15+G16/SUM($G$3:$G$52)</f>
        <v/>
      </c>
      <c r="I16" s="30">
        <f>IF(H16&lt;=0.7,"A",IF(H16&lt;=0.9,"B","C"))</f>
        <v/>
      </c>
      <c r="J16" s="30" t="n">
        <v>10</v>
      </c>
      <c r="K16" s="34">
        <f>F16/12</f>
        <v/>
      </c>
      <c r="L16" s="34">
        <f>IF(K16=0,9999,J16/K16)</f>
        <v/>
      </c>
      <c r="M16" s="30">
        <f>IF(L16&lt;0.1,"X",IF(L16&lt;0.3,"Y","Z"))</f>
        <v/>
      </c>
      <c r="N16" s="30">
        <f>I16&amp;M16</f>
        <v/>
      </c>
      <c r="O16" s="30">
        <f>IFERROR(VLOOKUP(N16,$T$2:$U$10,2,FALSE),"Manual")</f>
        <v/>
      </c>
      <c r="P16" s="30">
        <f>IF(AND(M16="Z",I16="C"),"SMOB RISK","OK")</f>
        <v/>
      </c>
      <c r="Q16" s="30" t="n">
        <v>0</v>
      </c>
      <c r="R16" s="30">
        <f>IF(AND(P16="SMOB RISK",Q16&gt;6),"LIQUIDATE",IF(Q16&gt;3,"REVIEW","ACTIVE"))</f>
        <v/>
      </c>
    </row>
    <row r="17" ht="15" customHeight="1">
      <c r="A17" s="35" t="inlineStr">
        <is>
          <t>FUSO-EGR-040</t>
        </is>
      </c>
      <c r="B17" s="35" t="inlineStr">
        <is>
          <t>EGR Valve</t>
        </is>
      </c>
      <c r="C17" s="35" t="inlineStr">
        <is>
          <t>Fighter FM</t>
        </is>
      </c>
      <c r="D17" s="35" t="inlineStr">
        <is>
          <t>Japan</t>
        </is>
      </c>
      <c r="E17" s="36" t="n">
        <v>960</v>
      </c>
      <c r="F17" s="35" t="n">
        <v>120</v>
      </c>
      <c r="G17" s="37">
        <f>E17*F17</f>
        <v/>
      </c>
      <c r="H17" s="38">
        <f>H16+G17/SUM($G$3:$G$52)</f>
        <v/>
      </c>
      <c r="I17" s="35">
        <f>IF(H17&lt;=0.7,"A",IF(H17&lt;=0.9,"B","C"))</f>
        <v/>
      </c>
      <c r="J17" s="35" t="n">
        <v>22</v>
      </c>
      <c r="K17" s="39">
        <f>F17/12</f>
        <v/>
      </c>
      <c r="L17" s="39">
        <f>IF(K17=0,9999,J17/K17)</f>
        <v/>
      </c>
      <c r="M17" s="35">
        <f>IF(L17&lt;0.1,"X",IF(L17&lt;0.3,"Y","Z"))</f>
        <v/>
      </c>
      <c r="N17" s="35">
        <f>I17&amp;M17</f>
        <v/>
      </c>
      <c r="O17" s="35">
        <f>IFERROR(VLOOKUP(N17,$T$2:$U$10,2,FALSE),"Manual")</f>
        <v/>
      </c>
      <c r="P17" s="35">
        <f>IF(AND(M17="Z",I17="C"),"SMOB RISK","OK")</f>
        <v/>
      </c>
      <c r="Q17" s="35" t="n">
        <v>3</v>
      </c>
      <c r="R17" s="35">
        <f>IF(AND(P17="SMOB RISK",Q17&gt;6),"LIQUIDATE",IF(Q17&gt;3,"REVIEW","ACTIVE"))</f>
        <v/>
      </c>
    </row>
    <row r="18" ht="15" customHeight="1">
      <c r="A18" s="35" t="inlineStr">
        <is>
          <t>FUSO-SBU-050</t>
        </is>
      </c>
      <c r="B18" s="35" t="inlineStr">
        <is>
          <t>Starter Motor</t>
        </is>
      </c>
      <c r="C18" s="35" t="inlineStr">
        <is>
          <t>Canter FE</t>
        </is>
      </c>
      <c r="D18" s="35" t="inlineStr">
        <is>
          <t>Japan</t>
        </is>
      </c>
      <c r="E18" s="36" t="n">
        <v>620</v>
      </c>
      <c r="F18" s="35" t="n">
        <v>180</v>
      </c>
      <c r="G18" s="37">
        <f>E18*F18</f>
        <v/>
      </c>
      <c r="H18" s="38">
        <f>H17+G18/SUM($G$3:$G$52)</f>
        <v/>
      </c>
      <c r="I18" s="35">
        <f>IF(H18&lt;=0.7,"A",IF(H18&lt;=0.9,"B","C"))</f>
        <v/>
      </c>
      <c r="J18" s="35" t="n">
        <v>16</v>
      </c>
      <c r="K18" s="39">
        <f>F18/12</f>
        <v/>
      </c>
      <c r="L18" s="39">
        <f>IF(K18=0,9999,J18/K18)</f>
        <v/>
      </c>
      <c r="M18" s="35">
        <f>IF(L18&lt;0.1,"X",IF(L18&lt;0.3,"Y","Z"))</f>
        <v/>
      </c>
      <c r="N18" s="35">
        <f>I18&amp;M18</f>
        <v/>
      </c>
      <c r="O18" s="35">
        <f>IFERROR(VLOOKUP(N18,$T$2:$U$10,2,FALSE),"Manual")</f>
        <v/>
      </c>
      <c r="P18" s="35">
        <f>IF(AND(M18="Z",I18="C"),"SMOB RISK","OK")</f>
        <v/>
      </c>
      <c r="Q18" s="35" t="n">
        <v>2</v>
      </c>
      <c r="R18" s="35">
        <f>IF(AND(P18="SMOB RISK",Q18&gt;6),"LIQUIDATE",IF(Q18&gt;3,"REVIEW","ACTIVE"))</f>
        <v/>
      </c>
    </row>
    <row r="19" ht="15" customHeight="1">
      <c r="A19" s="35" t="inlineStr">
        <is>
          <t>FUSO-BAT-032</t>
        </is>
      </c>
      <c r="B19" s="35" t="inlineStr">
        <is>
          <t>Battery Cell Module</t>
        </is>
      </c>
      <c r="C19" s="35" t="inlineStr">
        <is>
          <t>eCanter</t>
        </is>
      </c>
      <c r="D19" s="35" t="inlineStr">
        <is>
          <t>Japan</t>
        </is>
      </c>
      <c r="E19" s="36" t="n">
        <v>18000</v>
      </c>
      <c r="F19" s="35" t="n">
        <v>6</v>
      </c>
      <c r="G19" s="37">
        <f>E19*F19</f>
        <v/>
      </c>
      <c r="H19" s="38">
        <f>H18+G19/SUM($G$3:$G$52)</f>
        <v/>
      </c>
      <c r="I19" s="35">
        <f>IF(H19&lt;=0.7,"A",IF(H19&lt;=0.9,"B","C"))</f>
        <v/>
      </c>
      <c r="J19" s="35" t="n">
        <v>8</v>
      </c>
      <c r="K19" s="39">
        <f>F19/12</f>
        <v/>
      </c>
      <c r="L19" s="39">
        <f>IF(K19=0,9999,J19/K19)</f>
        <v/>
      </c>
      <c r="M19" s="35">
        <f>IF(L19&lt;0.1,"X",IF(L19&lt;0.3,"Y","Z"))</f>
        <v/>
      </c>
      <c r="N19" s="35">
        <f>I19&amp;M19</f>
        <v/>
      </c>
      <c r="O19" s="35">
        <f>IFERROR(VLOOKUP(N19,$T$2:$U$10,2,FALSE),"Manual")</f>
        <v/>
      </c>
      <c r="P19" s="35">
        <f>IF(AND(M19="Z",I19="C"),"SMOB RISK","OK")</f>
        <v/>
      </c>
      <c r="Q19" s="35" t="n">
        <v>5</v>
      </c>
      <c r="R19" s="35">
        <f>IF(AND(P19="SMOB RISK",Q19&gt;6),"LIQUIDATE",IF(Q19&gt;3,"REVIEW","ACTIVE"))</f>
        <v/>
      </c>
    </row>
    <row r="20" ht="15" customHeight="1">
      <c r="A20" s="35" t="inlineStr">
        <is>
          <t>FUSO-SPR-049</t>
        </is>
      </c>
      <c r="B20" s="35" t="inlineStr">
        <is>
          <t>Leaf Spring (pair)</t>
        </is>
      </c>
      <c r="C20" s="35" t="inlineStr">
        <is>
          <t>Fighter FM</t>
        </is>
      </c>
      <c r="D20" s="35" t="inlineStr">
        <is>
          <t>Japan</t>
        </is>
      </c>
      <c r="E20" s="36" t="n">
        <v>1800</v>
      </c>
      <c r="F20" s="35" t="n">
        <v>60</v>
      </c>
      <c r="G20" s="37">
        <f>E20*F20</f>
        <v/>
      </c>
      <c r="H20" s="38">
        <f>H19+G20/SUM($G$3:$G$52)</f>
        <v/>
      </c>
      <c r="I20" s="35">
        <f>IF(H20&lt;=0.7,"A",IF(H20&lt;=0.9,"B","C"))</f>
        <v/>
      </c>
      <c r="J20" s="35" t="n">
        <v>19</v>
      </c>
      <c r="K20" s="39">
        <f>F20/12</f>
        <v/>
      </c>
      <c r="L20" s="39">
        <f>IF(K20=0,9999,J20/K20)</f>
        <v/>
      </c>
      <c r="M20" s="35">
        <f>IF(L20&lt;0.1,"X",IF(L20&lt;0.3,"Y","Z"))</f>
        <v/>
      </c>
      <c r="N20" s="35">
        <f>I20&amp;M20</f>
        <v/>
      </c>
      <c r="O20" s="35">
        <f>IFERROR(VLOOKUP(N20,$T$2:$U$10,2,FALSE),"Manual")</f>
        <v/>
      </c>
      <c r="P20" s="35">
        <f>IF(AND(M20="Z",I20="C"),"SMOB RISK","OK")</f>
        <v/>
      </c>
      <c r="Q20" s="35" t="n">
        <v>3</v>
      </c>
      <c r="R20" s="35">
        <f>IF(AND(P20="SMOB RISK",Q20&gt;6),"LIQUIDATE",IF(Q20&gt;3,"REVIEW","ACTIVE"))</f>
        <v/>
      </c>
    </row>
    <row r="21" ht="15" customHeight="1">
      <c r="A21" s="30" t="inlineStr">
        <is>
          <t>FUSO-BRK-001</t>
        </is>
      </c>
      <c r="B21" s="30" t="inlineStr">
        <is>
          <t>Brake Pad Set Front</t>
        </is>
      </c>
      <c r="C21" s="30" t="inlineStr">
        <is>
          <t>Canter FE</t>
        </is>
      </c>
      <c r="D21" s="30" t="inlineStr">
        <is>
          <t>Chennai</t>
        </is>
      </c>
      <c r="E21" s="31" t="n">
        <v>85</v>
      </c>
      <c r="F21" s="30" t="n">
        <v>1200</v>
      </c>
      <c r="G21" s="32">
        <f>E21*F21</f>
        <v/>
      </c>
      <c r="H21" s="33">
        <f>H20+G21/SUM($G$3:$G$52)</f>
        <v/>
      </c>
      <c r="I21" s="30">
        <f>IF(H21&lt;=0.7,"A",IF(H21&lt;=0.9,"B","C"))</f>
        <v/>
      </c>
      <c r="J21" s="30" t="n">
        <v>12</v>
      </c>
      <c r="K21" s="34">
        <f>F21/12</f>
        <v/>
      </c>
      <c r="L21" s="34">
        <f>IF(K21=0,9999,J21/K21)</f>
        <v/>
      </c>
      <c r="M21" s="30">
        <f>IF(L21&lt;0.1,"X",IF(L21&lt;0.3,"Y","Z"))</f>
        <v/>
      </c>
      <c r="N21" s="30">
        <f>I21&amp;M21</f>
        <v/>
      </c>
      <c r="O21" s="30">
        <f>IFERROR(VLOOKUP(N21,$T$2:$U$10,2,FALSE),"Manual")</f>
        <v/>
      </c>
      <c r="P21" s="30">
        <f>IF(AND(M21="Z",I21="C"),"SMOB RISK","OK")</f>
        <v/>
      </c>
      <c r="Q21" s="30" t="n">
        <v>0</v>
      </c>
      <c r="R21" s="30">
        <f>IF(AND(P21="SMOB RISK",Q21&gt;6),"LIQUIDATE",IF(Q21&gt;3,"REVIEW","ACTIVE"))</f>
        <v/>
      </c>
    </row>
    <row r="22" ht="15" customHeight="1">
      <c r="A22" s="35" t="inlineStr">
        <is>
          <t>FUSO-ECU-031</t>
        </is>
      </c>
      <c r="B22" s="35" t="inlineStr">
        <is>
          <t>eCanter ECU Module</t>
        </is>
      </c>
      <c r="C22" s="35" t="inlineStr">
        <is>
          <t>eCanter</t>
        </is>
      </c>
      <c r="D22" s="35" t="inlineStr">
        <is>
          <t>Japan</t>
        </is>
      </c>
      <c r="E22" s="36" t="n">
        <v>8500</v>
      </c>
      <c r="F22" s="35" t="n">
        <v>12</v>
      </c>
      <c r="G22" s="37">
        <f>E22*F22</f>
        <v/>
      </c>
      <c r="H22" s="38">
        <f>H21+G22/SUM($G$3:$G$52)</f>
        <v/>
      </c>
      <c r="I22" s="35">
        <f>IF(H22&lt;=0.7,"A",IF(H22&lt;=0.9,"B","C"))</f>
        <v/>
      </c>
      <c r="J22" s="35" t="n">
        <v>11</v>
      </c>
      <c r="K22" s="39">
        <f>F22/12</f>
        <v/>
      </c>
      <c r="L22" s="39">
        <f>IF(K22=0,9999,J22/K22)</f>
        <v/>
      </c>
      <c r="M22" s="35">
        <f>IF(L22&lt;0.1,"X",IF(L22&lt;0.3,"Y","Z"))</f>
        <v/>
      </c>
      <c r="N22" s="35">
        <f>I22&amp;M22</f>
        <v/>
      </c>
      <c r="O22" s="35">
        <f>IFERROR(VLOOKUP(N22,$T$2:$U$10,2,FALSE),"Manual")</f>
        <v/>
      </c>
      <c r="P22" s="35">
        <f>IF(AND(M22="Z",I22="C"),"SMOB RISK","OK")</f>
        <v/>
      </c>
      <c r="Q22" s="35" t="n">
        <v>5</v>
      </c>
      <c r="R22" s="35">
        <f>IF(AND(P22="SMOB RISK",Q22&gt;6),"LIQUIDATE",IF(Q22&gt;3,"REVIEW","ACTIVE"))</f>
        <v/>
      </c>
    </row>
    <row r="23" ht="15" customHeight="1">
      <c r="A23" s="35" t="inlineStr">
        <is>
          <t>FUSO-HUB-045</t>
        </is>
      </c>
      <c r="B23" s="35" t="inlineStr">
        <is>
          <t>Wheel Hub Assy</t>
        </is>
      </c>
      <c r="C23" s="35" t="inlineStr">
        <is>
          <t>Fighter FM</t>
        </is>
      </c>
      <c r="D23" s="35" t="inlineStr">
        <is>
          <t>Japan</t>
        </is>
      </c>
      <c r="E23" s="36" t="n">
        <v>1400</v>
      </c>
      <c r="F23" s="35" t="n">
        <v>72</v>
      </c>
      <c r="G23" s="37">
        <f>E23*F23</f>
        <v/>
      </c>
      <c r="H23" s="38">
        <f>H22+G23/SUM($G$3:$G$52)</f>
        <v/>
      </c>
      <c r="I23" s="35">
        <f>IF(H23&lt;=0.7,"A",IF(H23&lt;=0.9,"B","C"))</f>
        <v/>
      </c>
      <c r="J23" s="35" t="n">
        <v>20</v>
      </c>
      <c r="K23" s="39">
        <f>F23/12</f>
        <v/>
      </c>
      <c r="L23" s="39">
        <f>IF(K23=0,9999,J23/K23)</f>
        <v/>
      </c>
      <c r="M23" s="35">
        <f>IF(L23&lt;0.1,"X",IF(L23&lt;0.3,"Y","Z"))</f>
        <v/>
      </c>
      <c r="N23" s="35">
        <f>I23&amp;M23</f>
        <v/>
      </c>
      <c r="O23" s="35">
        <f>IFERROR(VLOOKUP(N23,$T$2:$U$10,2,FALSE),"Manual")</f>
        <v/>
      </c>
      <c r="P23" s="35">
        <f>IF(AND(M23="Z",I23="C"),"SMOB RISK","OK")</f>
        <v/>
      </c>
      <c r="Q23" s="35" t="n">
        <v>2</v>
      </c>
      <c r="R23" s="35">
        <f>IF(AND(P23="SMOB RISK",Q23&gt;6),"LIQUIDATE",IF(Q23&gt;3,"REVIEW","ACTIVE"))</f>
        <v/>
      </c>
    </row>
    <row r="24" ht="15" customHeight="1">
      <c r="A24" s="40" t="inlineStr">
        <is>
          <t>FUSO-AIR-003</t>
        </is>
      </c>
      <c r="B24" s="40" t="inlineStr">
        <is>
          <t>Air Filter Element</t>
        </is>
      </c>
      <c r="C24" s="40" t="inlineStr">
        <is>
          <t>Canter FE</t>
        </is>
      </c>
      <c r="D24" s="40" t="inlineStr">
        <is>
          <t>Chennai</t>
        </is>
      </c>
      <c r="E24" s="41" t="n">
        <v>60</v>
      </c>
      <c r="F24" s="40" t="n">
        <v>1500</v>
      </c>
      <c r="G24" s="42">
        <f>E24*F24</f>
        <v/>
      </c>
      <c r="H24" s="43">
        <f>H23+G24/SUM($G$3:$G$52)</f>
        <v/>
      </c>
      <c r="I24" s="40">
        <f>IF(H24&lt;=0.7,"A",IF(H24&lt;=0.9,"B","C"))</f>
        <v/>
      </c>
      <c r="J24" s="40" t="n">
        <v>14</v>
      </c>
      <c r="K24" s="44">
        <f>F24/12</f>
        <v/>
      </c>
      <c r="L24" s="44">
        <f>IF(K24=0,9999,J24/K24)</f>
        <v/>
      </c>
      <c r="M24" s="40">
        <f>IF(L24&lt;0.1,"X",IF(L24&lt;0.3,"Y","Z"))</f>
        <v/>
      </c>
      <c r="N24" s="40">
        <f>I24&amp;M24</f>
        <v/>
      </c>
      <c r="O24" s="40">
        <f>IFERROR(VLOOKUP(N24,$T$2:$U$10,2,FALSE),"Manual")</f>
        <v/>
      </c>
      <c r="P24" s="40">
        <f>IF(AND(M24="Z",I24="C"),"SMOB RISK","OK")</f>
        <v/>
      </c>
      <c r="Q24" s="40" t="n">
        <v>0</v>
      </c>
      <c r="R24" s="40">
        <f>IF(AND(P24="SMOB RISK",Q24&gt;6),"LIQUIDATE",IF(Q24&gt;3,"REVIEW","ACTIVE"))</f>
        <v/>
      </c>
    </row>
    <row r="25" ht="15" customHeight="1">
      <c r="A25" s="40" t="inlineStr">
        <is>
          <t>FUSO-BRK-036</t>
        </is>
      </c>
      <c r="B25" s="40" t="inlineStr">
        <is>
          <t>Brake Pad Rear Set</t>
        </is>
      </c>
      <c r="C25" s="40" t="inlineStr">
        <is>
          <t>Canter FE</t>
        </is>
      </c>
      <c r="D25" s="40" t="inlineStr">
        <is>
          <t>Chennai</t>
        </is>
      </c>
      <c r="E25" s="41" t="n">
        <v>80</v>
      </c>
      <c r="F25" s="40" t="n">
        <v>1080</v>
      </c>
      <c r="G25" s="42">
        <f>E25*F25</f>
        <v/>
      </c>
      <c r="H25" s="43">
        <f>H24+G25/SUM($G$3:$G$52)</f>
        <v/>
      </c>
      <c r="I25" s="40">
        <f>IF(H25&lt;=0.7,"A",IF(H25&lt;=0.9,"B","C"))</f>
        <v/>
      </c>
      <c r="J25" s="40" t="n">
        <v>11</v>
      </c>
      <c r="K25" s="44">
        <f>F25/12</f>
        <v/>
      </c>
      <c r="L25" s="44">
        <f>IF(K25=0,9999,J25/K25)</f>
        <v/>
      </c>
      <c r="M25" s="40">
        <f>IF(L25&lt;0.1,"X",IF(L25&lt;0.3,"Y","Z"))</f>
        <v/>
      </c>
      <c r="N25" s="40">
        <f>I25&amp;M25</f>
        <v/>
      </c>
      <c r="O25" s="40">
        <f>IFERROR(VLOOKUP(N25,$T$2:$U$10,2,FALSE),"Manual")</f>
        <v/>
      </c>
      <c r="P25" s="40">
        <f>IF(AND(M25="Z",I25="C"),"SMOB RISK","OK")</f>
        <v/>
      </c>
      <c r="Q25" s="40" t="n">
        <v>0</v>
      </c>
      <c r="R25" s="40">
        <f>IF(AND(P25="SMOB RISK",Q25&gt;6),"LIQUIDATE",IF(Q25&gt;3,"REVIEW","ACTIVE"))</f>
        <v/>
      </c>
    </row>
    <row r="26" ht="15" customHeight="1">
      <c r="A26" s="40" t="inlineStr">
        <is>
          <t>FUSO-OIL-002</t>
        </is>
      </c>
      <c r="B26" s="40" t="inlineStr">
        <is>
          <t>Oil Filter Standard</t>
        </is>
      </c>
      <c r="C26" s="40" t="inlineStr">
        <is>
          <t>Canter FE</t>
        </is>
      </c>
      <c r="D26" s="40" t="inlineStr">
        <is>
          <t>Chennai</t>
        </is>
      </c>
      <c r="E26" s="41" t="n">
        <v>45</v>
      </c>
      <c r="F26" s="40" t="n">
        <v>1800</v>
      </c>
      <c r="G26" s="42">
        <f>E26*F26</f>
        <v/>
      </c>
      <c r="H26" s="43">
        <f>H25+G26/SUM($G$3:$G$52)</f>
        <v/>
      </c>
      <c r="I26" s="40">
        <f>IF(H26&lt;=0.7,"A",IF(H26&lt;=0.9,"B","C"))</f>
        <v/>
      </c>
      <c r="J26" s="40" t="n">
        <v>15</v>
      </c>
      <c r="K26" s="44">
        <f>F26/12</f>
        <v/>
      </c>
      <c r="L26" s="44">
        <f>IF(K26=0,9999,J26/K26)</f>
        <v/>
      </c>
      <c r="M26" s="40">
        <f>IF(L26&lt;0.1,"X",IF(L26&lt;0.3,"Y","Z"))</f>
        <v/>
      </c>
      <c r="N26" s="40">
        <f>I26&amp;M26</f>
        <v/>
      </c>
      <c r="O26" s="40">
        <f>IFERROR(VLOOKUP(N26,$T$2:$U$10,2,FALSE),"Manual")</f>
        <v/>
      </c>
      <c r="P26" s="40">
        <f>IF(AND(M26="Z",I26="C"),"SMOB RISK","OK")</f>
        <v/>
      </c>
      <c r="Q26" s="40" t="n">
        <v>0</v>
      </c>
      <c r="R26" s="40">
        <f>IF(AND(P26="SMOB RISK",Q26&gt;6),"LIQUIDATE",IF(Q26&gt;3,"REVIEW","ACTIVE"))</f>
        <v/>
      </c>
    </row>
    <row r="27" ht="15" customHeight="1">
      <c r="A27" s="45" t="inlineStr">
        <is>
          <t>FUSO-DRV-022</t>
        </is>
      </c>
      <c r="B27" s="45" t="inlineStr">
        <is>
          <t>Drive Shaft Front</t>
        </is>
      </c>
      <c r="C27" s="45" t="inlineStr">
        <is>
          <t>Super Great V</t>
        </is>
      </c>
      <c r="D27" s="45" t="inlineStr">
        <is>
          <t>Japan</t>
        </is>
      </c>
      <c r="E27" s="46" t="n">
        <v>2200</v>
      </c>
      <c r="F27" s="45" t="n">
        <v>36</v>
      </c>
      <c r="G27" s="47">
        <f>E27*F27</f>
        <v/>
      </c>
      <c r="H27" s="48">
        <f>H26+G27/SUM($G$3:$G$52)</f>
        <v/>
      </c>
      <c r="I27" s="45">
        <f>IF(H27&lt;=0.7,"A",IF(H27&lt;=0.9,"B","C"))</f>
        <v/>
      </c>
      <c r="J27" s="45" t="n">
        <v>15</v>
      </c>
      <c r="K27" s="49">
        <f>F27/12</f>
        <v/>
      </c>
      <c r="L27" s="49">
        <f>IF(K27=0,9999,J27/K27)</f>
        <v/>
      </c>
      <c r="M27" s="45">
        <f>IF(L27&lt;0.1,"X",IF(L27&lt;0.3,"Y","Z"))</f>
        <v/>
      </c>
      <c r="N27" s="45">
        <f>I27&amp;M27</f>
        <v/>
      </c>
      <c r="O27" s="45">
        <f>IFERROR(VLOOKUP(N27,$T$2:$U$10,2,FALSE),"Manual")</f>
        <v/>
      </c>
      <c r="P27" s="45">
        <f>IF(AND(M27="Z",I27="C"),"SMOB RISK","OK")</f>
        <v/>
      </c>
      <c r="Q27" s="45" t="n">
        <v>5</v>
      </c>
      <c r="R27" s="45">
        <f>IF(AND(P27="SMOB RISK",Q27&gt;6),"LIQUIDATE",IF(Q27&gt;3,"REVIEW","ACTIVE"))</f>
        <v/>
      </c>
    </row>
    <row r="28" ht="15" customHeight="1">
      <c r="A28" s="45" t="inlineStr">
        <is>
          <t>FUSO-LAM-046</t>
        </is>
      </c>
      <c r="B28" s="45" t="inlineStr">
        <is>
          <t>Lambda Sensor</t>
        </is>
      </c>
      <c r="C28" s="45" t="inlineStr">
        <is>
          <t>Canter FE</t>
        </is>
      </c>
      <c r="D28" s="45" t="inlineStr">
        <is>
          <t>Chennai</t>
        </is>
      </c>
      <c r="E28" s="46" t="n">
        <v>220</v>
      </c>
      <c r="F28" s="45" t="n">
        <v>360</v>
      </c>
      <c r="G28" s="47">
        <f>E28*F28</f>
        <v/>
      </c>
      <c r="H28" s="48">
        <f>H27+G28/SUM($G$3:$G$52)</f>
        <v/>
      </c>
      <c r="I28" s="45">
        <f>IF(H28&lt;=0.7,"A",IF(H28&lt;=0.9,"B","C"))</f>
        <v/>
      </c>
      <c r="J28" s="45" t="n">
        <v>13</v>
      </c>
      <c r="K28" s="49">
        <f>F28/12</f>
        <v/>
      </c>
      <c r="L28" s="49">
        <f>IF(K28=0,9999,J28/K28)</f>
        <v/>
      </c>
      <c r="M28" s="45">
        <f>IF(L28&lt;0.1,"X",IF(L28&lt;0.3,"Y","Z"))</f>
        <v/>
      </c>
      <c r="N28" s="45">
        <f>I28&amp;M28</f>
        <v/>
      </c>
      <c r="O28" s="45">
        <f>IFERROR(VLOOKUP(N28,$T$2:$U$10,2,FALSE),"Manual")</f>
        <v/>
      </c>
      <c r="P28" s="45">
        <f>IF(AND(M28="Z",I28="C"),"SMOB RISK","OK")</f>
        <v/>
      </c>
      <c r="Q28" s="45" t="n">
        <v>1</v>
      </c>
      <c r="R28" s="45">
        <f>IF(AND(P28="SMOB RISK",Q28&gt;6),"LIQUIDATE",IF(Q28&gt;3,"REVIEW","ACTIVE"))</f>
        <v/>
      </c>
    </row>
    <row r="29" ht="15" customHeight="1">
      <c r="A29" s="45" t="inlineStr">
        <is>
          <t>FUSO-DPF-041</t>
        </is>
      </c>
      <c r="B29" s="45" t="inlineStr">
        <is>
          <t>DPF Filter</t>
        </is>
      </c>
      <c r="C29" s="45" t="inlineStr">
        <is>
          <t>Super Great V</t>
        </is>
      </c>
      <c r="D29" s="45" t="inlineStr">
        <is>
          <t>Japan</t>
        </is>
      </c>
      <c r="E29" s="46" t="n">
        <v>4200</v>
      </c>
      <c r="F29" s="45" t="n">
        <v>18</v>
      </c>
      <c r="G29" s="47">
        <f>E29*F29</f>
        <v/>
      </c>
      <c r="H29" s="48">
        <f>H28+G29/SUM($G$3:$G$52)</f>
        <v/>
      </c>
      <c r="I29" s="45">
        <f>IF(H29&lt;=0.7,"A",IF(H29&lt;=0.9,"B","C"))</f>
        <v/>
      </c>
      <c r="J29" s="45" t="n">
        <v>14</v>
      </c>
      <c r="K29" s="49">
        <f>F29/12</f>
        <v/>
      </c>
      <c r="L29" s="49">
        <f>IF(K29=0,9999,J29/K29)</f>
        <v/>
      </c>
      <c r="M29" s="45">
        <f>IF(L29&lt;0.1,"X",IF(L29&lt;0.3,"Y","Z"))</f>
        <v/>
      </c>
      <c r="N29" s="45">
        <f>I29&amp;M29</f>
        <v/>
      </c>
      <c r="O29" s="45">
        <f>IFERROR(VLOOKUP(N29,$T$2:$U$10,2,FALSE),"Manual")</f>
        <v/>
      </c>
      <c r="P29" s="45">
        <f>IF(AND(M29="Z",I29="C"),"SMOB RISK","OK")</f>
        <v/>
      </c>
      <c r="Q29" s="45" t="n">
        <v>5</v>
      </c>
      <c r="R29" s="45">
        <f>IF(AND(P29="SMOB RISK",Q29&gt;6),"LIQUIDATE",IF(Q29&gt;3,"REVIEW","ACTIVE"))</f>
        <v/>
      </c>
    </row>
    <row r="30" ht="15" customHeight="1">
      <c r="A30" s="40" t="inlineStr">
        <is>
          <t>FUSO-SPK-008</t>
        </is>
      </c>
      <c r="B30" s="40" t="inlineStr">
        <is>
          <t>Spark Plug Set</t>
        </is>
      </c>
      <c r="C30" s="40" t="inlineStr">
        <is>
          <t>Canter FE</t>
        </is>
      </c>
      <c r="D30" s="40" t="inlineStr">
        <is>
          <t>Chennai</t>
        </is>
      </c>
      <c r="E30" s="41" t="n">
        <v>30</v>
      </c>
      <c r="F30" s="40" t="n">
        <v>2400</v>
      </c>
      <c r="G30" s="42">
        <f>E30*F30</f>
        <v/>
      </c>
      <c r="H30" s="43">
        <f>H29+G30/SUM($G$3:$G$52)</f>
        <v/>
      </c>
      <c r="I30" s="40">
        <f>IF(H30&lt;=0.7,"A",IF(H30&lt;=0.9,"B","C"))</f>
        <v/>
      </c>
      <c r="J30" s="40" t="n">
        <v>20</v>
      </c>
      <c r="K30" s="44">
        <f>F30/12</f>
        <v/>
      </c>
      <c r="L30" s="44">
        <f>IF(K30=0,9999,J30/K30)</f>
        <v/>
      </c>
      <c r="M30" s="40">
        <f>IF(L30&lt;0.1,"X",IF(L30&lt;0.3,"Y","Z"))</f>
        <v/>
      </c>
      <c r="N30" s="40">
        <f>I30&amp;M30</f>
        <v/>
      </c>
      <c r="O30" s="40">
        <f>IFERROR(VLOOKUP(N30,$T$2:$U$10,2,FALSE),"Manual")</f>
        <v/>
      </c>
      <c r="P30" s="40">
        <f>IF(AND(M30="Z",I30="C"),"SMOB RISK","OK")</f>
        <v/>
      </c>
      <c r="Q30" s="40" t="n">
        <v>0</v>
      </c>
      <c r="R30" s="40">
        <f>IF(AND(P30="SMOB RISK",Q30&gt;6),"LIQUIDATE",IF(Q30&gt;3,"REVIEW","ACTIVE"))</f>
        <v/>
      </c>
    </row>
    <row r="31" ht="15" customHeight="1">
      <c r="A31" s="45" t="inlineStr">
        <is>
          <t>FUSO-INV-034</t>
        </is>
      </c>
      <c r="B31" s="45" t="inlineStr">
        <is>
          <t>Inverter Module</t>
        </is>
      </c>
      <c r="C31" s="45" t="inlineStr">
        <is>
          <t>eCanter</t>
        </is>
      </c>
      <c r="D31" s="45" t="inlineStr">
        <is>
          <t>Japan</t>
        </is>
      </c>
      <c r="E31" s="46" t="n">
        <v>12000</v>
      </c>
      <c r="F31" s="45" t="n">
        <v>6</v>
      </c>
      <c r="G31" s="47">
        <f>E31*F31</f>
        <v/>
      </c>
      <c r="H31" s="48">
        <f>H30+G31/SUM($G$3:$G$52)</f>
        <v/>
      </c>
      <c r="I31" s="45">
        <f>IF(H31&lt;=0.7,"A",IF(H31&lt;=0.9,"B","C"))</f>
        <v/>
      </c>
      <c r="J31" s="45" t="n">
        <v>7</v>
      </c>
      <c r="K31" s="49">
        <f>F31/12</f>
        <v/>
      </c>
      <c r="L31" s="49">
        <f>IF(K31=0,9999,J31/K31)</f>
        <v/>
      </c>
      <c r="M31" s="45">
        <f>IF(L31&lt;0.1,"X",IF(L31&lt;0.3,"Y","Z"))</f>
        <v/>
      </c>
      <c r="N31" s="45">
        <f>I31&amp;M31</f>
        <v/>
      </c>
      <c r="O31" s="45">
        <f>IFERROR(VLOOKUP(N31,$T$2:$U$10,2,FALSE),"Manual")</f>
        <v/>
      </c>
      <c r="P31" s="45">
        <f>IF(AND(M31="Z",I31="C"),"SMOB RISK","OK")</f>
        <v/>
      </c>
      <c r="Q31" s="45" t="n">
        <v>5</v>
      </c>
      <c r="R31" s="45">
        <f>IF(AND(P31="SMOB RISK",Q31&gt;6),"LIQUIDATE",IF(Q31&gt;3,"REVIEW","ACTIVE"))</f>
        <v/>
      </c>
    </row>
    <row r="32" ht="15" customHeight="1">
      <c r="A32" s="40" t="inlineStr">
        <is>
          <t>FUSO-TRM-010</t>
        </is>
      </c>
      <c r="B32" s="40" t="inlineStr">
        <is>
          <t>Thermostat Assy</t>
        </is>
      </c>
      <c r="C32" s="40" t="inlineStr">
        <is>
          <t>Canter FE</t>
        </is>
      </c>
      <c r="D32" s="40" t="inlineStr">
        <is>
          <t>Chennai</t>
        </is>
      </c>
      <c r="E32" s="41" t="n">
        <v>95</v>
      </c>
      <c r="F32" s="40" t="n">
        <v>660</v>
      </c>
      <c r="G32" s="42">
        <f>E32*F32</f>
        <v/>
      </c>
      <c r="H32" s="43">
        <f>H31+G32/SUM($G$3:$G$52)</f>
        <v/>
      </c>
      <c r="I32" s="40">
        <f>IF(H32&lt;=0.7,"A",IF(H32&lt;=0.9,"B","C"))</f>
        <v/>
      </c>
      <c r="J32" s="40" t="n">
        <v>8</v>
      </c>
      <c r="K32" s="44">
        <f>F32/12</f>
        <v/>
      </c>
      <c r="L32" s="44">
        <f>IF(K32=0,9999,J32/K32)</f>
        <v/>
      </c>
      <c r="M32" s="40">
        <f>IF(L32&lt;0.1,"X",IF(L32&lt;0.3,"Y","Z"))</f>
        <v/>
      </c>
      <c r="N32" s="40">
        <f>I32&amp;M32</f>
        <v/>
      </c>
      <c r="O32" s="40">
        <f>IFERROR(VLOOKUP(N32,$T$2:$U$10,2,FALSE),"Manual")</f>
        <v/>
      </c>
      <c r="P32" s="40">
        <f>IF(AND(M32="Z",I32="C"),"SMOB RISK","OK")</f>
        <v/>
      </c>
      <c r="Q32" s="40" t="n">
        <v>0</v>
      </c>
      <c r="R32" s="40">
        <f>IF(AND(P32="SMOB RISK",Q32&gt;6),"LIQUIDATE",IF(Q32&gt;3,"REVIEW","ACTIVE"))</f>
        <v/>
      </c>
    </row>
    <row r="33" ht="15" customHeight="1">
      <c r="A33" s="45" t="inlineStr">
        <is>
          <t>FUSO-ACP-023</t>
        </is>
      </c>
      <c r="B33" s="45" t="inlineStr">
        <is>
          <t>A/C Compressor</t>
        </is>
      </c>
      <c r="C33" s="45" t="inlineStr">
        <is>
          <t>Super Great V</t>
        </is>
      </c>
      <c r="D33" s="45" t="inlineStr">
        <is>
          <t>Japan</t>
        </is>
      </c>
      <c r="E33" s="46" t="n">
        <v>2600</v>
      </c>
      <c r="F33" s="45" t="n">
        <v>24</v>
      </c>
      <c r="G33" s="47">
        <f>E33*F33</f>
        <v/>
      </c>
      <c r="H33" s="48">
        <f>H32+G33/SUM($G$3:$G$52)</f>
        <v/>
      </c>
      <c r="I33" s="45">
        <f>IF(H33&lt;=0.7,"A",IF(H33&lt;=0.9,"B","C"))</f>
        <v/>
      </c>
      <c r="J33" s="45" t="n">
        <v>14</v>
      </c>
      <c r="K33" s="49">
        <f>F33/12</f>
        <v/>
      </c>
      <c r="L33" s="49">
        <f>IF(K33=0,9999,J33/K33)</f>
        <v/>
      </c>
      <c r="M33" s="45">
        <f>IF(L33&lt;0.1,"X",IF(L33&lt;0.3,"Y","Z"))</f>
        <v/>
      </c>
      <c r="N33" s="45">
        <f>I33&amp;M33</f>
        <v/>
      </c>
      <c r="O33" s="45">
        <f>IFERROR(VLOOKUP(N33,$T$2:$U$10,2,FALSE),"Manual")</f>
        <v/>
      </c>
      <c r="P33" s="45">
        <f>IF(AND(M33="Z",I33="C"),"SMOB RISK","OK")</f>
        <v/>
      </c>
      <c r="Q33" s="45" t="n">
        <v>5</v>
      </c>
      <c r="R33" s="45">
        <f>IF(AND(P33="SMOB RISK",Q33&gt;6),"LIQUIDATE",IF(Q33&gt;3,"REVIEW","ACTIVE"))</f>
        <v/>
      </c>
    </row>
    <row r="34" ht="15" customHeight="1">
      <c r="A34" s="45" t="inlineStr">
        <is>
          <t>FUSO-ADB-044</t>
        </is>
      </c>
      <c r="B34" s="45" t="inlineStr">
        <is>
          <t>AdBlue Pump</t>
        </is>
      </c>
      <c r="C34" s="45" t="inlineStr">
        <is>
          <t>Fighter FM</t>
        </is>
      </c>
      <c r="D34" s="45" t="inlineStr">
        <is>
          <t>Japan</t>
        </is>
      </c>
      <c r="E34" s="46" t="n">
        <v>640</v>
      </c>
      <c r="F34" s="45" t="n">
        <v>96</v>
      </c>
      <c r="G34" s="47">
        <f>E34*F34</f>
        <v/>
      </c>
      <c r="H34" s="48">
        <f>H33+G34/SUM($G$3:$G$52)</f>
        <v/>
      </c>
      <c r="I34" s="45">
        <f>IF(H34&lt;=0.7,"A",IF(H34&lt;=0.9,"B","C"))</f>
        <v/>
      </c>
      <c r="J34" s="45" t="n">
        <v>18</v>
      </c>
      <c r="K34" s="49">
        <f>F34/12</f>
        <v/>
      </c>
      <c r="L34" s="49">
        <f>IF(K34=0,9999,J34/K34)</f>
        <v/>
      </c>
      <c r="M34" s="45">
        <f>IF(L34&lt;0.1,"X",IF(L34&lt;0.3,"Y","Z"))</f>
        <v/>
      </c>
      <c r="N34" s="45">
        <f>I34&amp;M34</f>
        <v/>
      </c>
      <c r="O34" s="45">
        <f>IFERROR(VLOOKUP(N34,$T$2:$U$10,2,FALSE),"Manual")</f>
        <v/>
      </c>
      <c r="P34" s="45">
        <f>IF(AND(M34="Z",I34="C"),"SMOB RISK","OK")</f>
        <v/>
      </c>
      <c r="Q34" s="45" t="n">
        <v>2</v>
      </c>
      <c r="R34" s="45">
        <f>IF(AND(P34="SMOB RISK",Q34&gt;6),"LIQUIDATE",IF(Q34&gt;3,"REVIEW","ACTIVE"))</f>
        <v/>
      </c>
    </row>
    <row r="35" ht="15" customHeight="1">
      <c r="A35" s="45" t="inlineStr">
        <is>
          <t>FUSO-BRH-019</t>
        </is>
      </c>
      <c r="B35" s="45" t="inlineStr">
        <is>
          <t>Brake Hose Set</t>
        </is>
      </c>
      <c r="C35" s="45" t="inlineStr">
        <is>
          <t>Fighter FM</t>
        </is>
      </c>
      <c r="D35" s="45" t="inlineStr">
        <is>
          <t>Chennai</t>
        </is>
      </c>
      <c r="E35" s="46" t="n">
        <v>140</v>
      </c>
      <c r="F35" s="45" t="n">
        <v>420</v>
      </c>
      <c r="G35" s="47">
        <f>E35*F35</f>
        <v/>
      </c>
      <c r="H35" s="48">
        <f>H34+G35/SUM($G$3:$G$52)</f>
        <v/>
      </c>
      <c r="I35" s="45">
        <f>IF(H35&lt;=0.7,"A",IF(H35&lt;=0.9,"B","C"))</f>
        <v/>
      </c>
      <c r="J35" s="45" t="n">
        <v>14</v>
      </c>
      <c r="K35" s="49">
        <f>F35/12</f>
        <v/>
      </c>
      <c r="L35" s="49">
        <f>IF(K35=0,9999,J35/K35)</f>
        <v/>
      </c>
      <c r="M35" s="45">
        <f>IF(L35&lt;0.1,"X",IF(L35&lt;0.3,"Y","Z"))</f>
        <v/>
      </c>
      <c r="N35" s="45">
        <f>I35&amp;M35</f>
        <v/>
      </c>
      <c r="O35" s="45">
        <f>IFERROR(VLOOKUP(N35,$T$2:$U$10,2,FALSE),"Manual")</f>
        <v/>
      </c>
      <c r="P35" s="45">
        <f>IF(AND(M35="Z",I35="C"),"SMOB RISK","OK")</f>
        <v/>
      </c>
      <c r="Q35" s="45" t="n">
        <v>0</v>
      </c>
      <c r="R35" s="45">
        <f>IF(AND(P35="SMOB RISK",Q35&gt;6),"LIQUIDATE",IF(Q35&gt;3,"REVIEW","ACTIVE"))</f>
        <v/>
      </c>
    </row>
    <row r="36" ht="15" customHeight="1">
      <c r="A36" s="40" t="inlineStr">
        <is>
          <t>FUSO-AIR-038</t>
        </is>
      </c>
      <c r="B36" s="40" t="inlineStr">
        <is>
          <t>Air Filter HD</t>
        </is>
      </c>
      <c r="C36" s="40" t="inlineStr">
        <is>
          <t>Fighter FM</t>
        </is>
      </c>
      <c r="D36" s="40" t="inlineStr">
        <is>
          <t>Chennai</t>
        </is>
      </c>
      <c r="E36" s="41" t="n">
        <v>70</v>
      </c>
      <c r="F36" s="40" t="n">
        <v>780</v>
      </c>
      <c r="G36" s="42">
        <f>E36*F36</f>
        <v/>
      </c>
      <c r="H36" s="43">
        <f>H35+G36/SUM($G$3:$G$52)</f>
        <v/>
      </c>
      <c r="I36" s="40">
        <f>IF(H36&lt;=0.7,"A",IF(H36&lt;=0.9,"B","C"))</f>
        <v/>
      </c>
      <c r="J36" s="40" t="n">
        <v>9</v>
      </c>
      <c r="K36" s="44">
        <f>F36/12</f>
        <v/>
      </c>
      <c r="L36" s="44">
        <f>IF(K36=0,9999,J36/K36)</f>
        <v/>
      </c>
      <c r="M36" s="40">
        <f>IF(L36&lt;0.1,"X",IF(L36&lt;0.3,"Y","Z"))</f>
        <v/>
      </c>
      <c r="N36" s="40">
        <f>I36&amp;M36</f>
        <v/>
      </c>
      <c r="O36" s="40">
        <f>IFERROR(VLOOKUP(N36,$T$2:$U$10,2,FALSE),"Manual")</f>
        <v/>
      </c>
      <c r="P36" s="40">
        <f>IF(AND(M36="Z",I36="C"),"SMOB RISK","OK")</f>
        <v/>
      </c>
      <c r="Q36" s="40" t="n">
        <v>0</v>
      </c>
      <c r="R36" s="40">
        <f>IF(AND(P36="SMOB RISK",Q36&gt;6),"LIQUIDATE",IF(Q36&gt;3,"REVIEW","ACTIVE"))</f>
        <v/>
      </c>
    </row>
    <row r="37" ht="15" customHeight="1">
      <c r="A37" s="50" t="inlineStr">
        <is>
          <t>FUSO-RAD-009</t>
        </is>
      </c>
      <c r="B37" s="50" t="inlineStr">
        <is>
          <t>Radiator Hose Upper</t>
        </is>
      </c>
      <c r="C37" s="50" t="inlineStr">
        <is>
          <t>Canter FE</t>
        </is>
      </c>
      <c r="D37" s="50" t="inlineStr">
        <is>
          <t>Chennai</t>
        </is>
      </c>
      <c r="E37" s="51" t="n">
        <v>75</v>
      </c>
      <c r="F37" s="50" t="n">
        <v>720</v>
      </c>
      <c r="G37" s="52">
        <f>E37*F37</f>
        <v/>
      </c>
      <c r="H37" s="53">
        <f>H36+G37/SUM($G$3:$G$52)</f>
        <v/>
      </c>
      <c r="I37" s="50">
        <f>IF(H37&lt;=0.7,"A",IF(H37&lt;=0.9,"B","C"))</f>
        <v/>
      </c>
      <c r="J37" s="50" t="n">
        <v>8</v>
      </c>
      <c r="K37" s="54">
        <f>F37/12</f>
        <v/>
      </c>
      <c r="L37" s="54">
        <f>IF(K37=0,9999,J37/K37)</f>
        <v/>
      </c>
      <c r="M37" s="50">
        <f>IF(L37&lt;0.1,"X",IF(L37&lt;0.3,"Y","Z"))</f>
        <v/>
      </c>
      <c r="N37" s="50">
        <f>I37&amp;M37</f>
        <v/>
      </c>
      <c r="O37" s="50">
        <f>IFERROR(VLOOKUP(N37,$T$2:$U$10,2,FALSE),"Manual")</f>
        <v/>
      </c>
      <c r="P37" s="50">
        <f>IF(AND(M37="Z",I37="C"),"SMOB RISK","OK")</f>
        <v/>
      </c>
      <c r="Q37" s="50" t="n">
        <v>0</v>
      </c>
      <c r="R37" s="50">
        <f>IF(AND(P37="SMOB RISK",Q37&gt;6),"LIQUIDATE",IF(Q37&gt;3,"REVIEW","ACTIVE"))</f>
        <v/>
      </c>
    </row>
    <row r="38" ht="15" customHeight="1">
      <c r="A38" s="55" t="inlineStr">
        <is>
          <t>FUSO-HDG-024</t>
        </is>
      </c>
      <c r="B38" s="55" t="inlineStr">
        <is>
          <t>Head Gasket Set</t>
        </is>
      </c>
      <c r="C38" s="55" t="inlineStr">
        <is>
          <t>Super Great V</t>
        </is>
      </c>
      <c r="D38" s="55" t="inlineStr">
        <is>
          <t>Japan</t>
        </is>
      </c>
      <c r="E38" s="56" t="n">
        <v>1800</v>
      </c>
      <c r="F38" s="55" t="n">
        <v>30</v>
      </c>
      <c r="G38" s="57">
        <f>E38*F38</f>
        <v/>
      </c>
      <c r="H38" s="58">
        <f>H37+G38/SUM($G$3:$G$52)</f>
        <v/>
      </c>
      <c r="I38" s="55">
        <f>IF(H38&lt;=0.7,"A",IF(H38&lt;=0.9,"B","C"))</f>
        <v/>
      </c>
      <c r="J38" s="55" t="n">
        <v>16</v>
      </c>
      <c r="K38" s="59">
        <f>F38/12</f>
        <v/>
      </c>
      <c r="L38" s="59">
        <f>IF(K38=0,9999,J38/K38)</f>
        <v/>
      </c>
      <c r="M38" s="55">
        <f>IF(L38&lt;0.1,"X",IF(L38&lt;0.3,"Y","Z"))</f>
        <v/>
      </c>
      <c r="N38" s="55">
        <f>I38&amp;M38</f>
        <v/>
      </c>
      <c r="O38" s="55">
        <f>IFERROR(VLOOKUP(N38,$T$2:$U$10,2,FALSE),"Manual")</f>
        <v/>
      </c>
      <c r="P38" s="55">
        <f>IF(AND(M38="Z",I38="C"),"SMOB RISK","OK")</f>
        <v/>
      </c>
      <c r="Q38" s="55" t="n">
        <v>5</v>
      </c>
      <c r="R38" s="55">
        <f>IF(AND(P38="SMOB RISK",Q38&gt;6),"LIQUIDATE",IF(Q38&gt;3,"REVIEW","ACTIVE"))</f>
        <v/>
      </c>
    </row>
    <row r="39" ht="15" customHeight="1">
      <c r="A39" s="50" t="inlineStr">
        <is>
          <t>FUSO-FLT-048</t>
        </is>
      </c>
      <c r="B39" s="50" t="inlineStr">
        <is>
          <t>Fuel Filter</t>
        </is>
      </c>
      <c r="C39" s="50" t="inlineStr">
        <is>
          <t>Canter FE</t>
        </is>
      </c>
      <c r="D39" s="50" t="inlineStr">
        <is>
          <t>Chennai</t>
        </is>
      </c>
      <c r="E39" s="51" t="n">
        <v>55</v>
      </c>
      <c r="F39" s="50" t="n">
        <v>960</v>
      </c>
      <c r="G39" s="52">
        <f>E39*F39</f>
        <v/>
      </c>
      <c r="H39" s="53">
        <f>H38+G39/SUM($G$3:$G$52)</f>
        <v/>
      </c>
      <c r="I39" s="50">
        <f>IF(H39&lt;=0.7,"A",IF(H39&lt;=0.9,"B","C"))</f>
        <v/>
      </c>
      <c r="J39" s="50" t="n">
        <v>10</v>
      </c>
      <c r="K39" s="54">
        <f>F39/12</f>
        <v/>
      </c>
      <c r="L39" s="54">
        <f>IF(K39=0,9999,J39/K39)</f>
        <v/>
      </c>
      <c r="M39" s="50">
        <f>IF(L39&lt;0.1,"X",IF(L39&lt;0.3,"Y","Z"))</f>
        <v/>
      </c>
      <c r="N39" s="50">
        <f>I39&amp;M39</f>
        <v/>
      </c>
      <c r="O39" s="50">
        <f>IFERROR(VLOOKUP(N39,$T$2:$U$10,2,FALSE),"Manual")</f>
        <v/>
      </c>
      <c r="P39" s="50">
        <f>IF(AND(M39="Z",I39="C"),"SMOB RISK","OK")</f>
        <v/>
      </c>
      <c r="Q39" s="50" t="n">
        <v>0</v>
      </c>
      <c r="R39" s="50">
        <f>IF(AND(P39="SMOB RISK",Q39&gt;6),"LIQUIDATE",IF(Q39&gt;3,"REVIEW","ACTIVE"))</f>
        <v/>
      </c>
    </row>
    <row r="40" ht="15" customHeight="1">
      <c r="A40" s="50" t="inlineStr">
        <is>
          <t>FUSO-OIL-037</t>
        </is>
      </c>
      <c r="B40" s="50" t="inlineStr">
        <is>
          <t>Oil Filter HD</t>
        </is>
      </c>
      <c r="C40" s="50" t="inlineStr">
        <is>
          <t>Fighter FM</t>
        </is>
      </c>
      <c r="D40" s="50" t="inlineStr">
        <is>
          <t>Chennai</t>
        </is>
      </c>
      <c r="E40" s="51" t="n">
        <v>55</v>
      </c>
      <c r="F40" s="50" t="n">
        <v>900</v>
      </c>
      <c r="G40" s="52">
        <f>E40*F40</f>
        <v/>
      </c>
      <c r="H40" s="53">
        <f>H39+G40/SUM($G$3:$G$52)</f>
        <v/>
      </c>
      <c r="I40" s="50">
        <f>IF(H40&lt;=0.7,"A",IF(H40&lt;=0.9,"B","C"))</f>
        <v/>
      </c>
      <c r="J40" s="50" t="n">
        <v>10</v>
      </c>
      <c r="K40" s="54">
        <f>F40/12</f>
        <v/>
      </c>
      <c r="L40" s="54">
        <f>IF(K40=0,9999,J40/K40)</f>
        <v/>
      </c>
      <c r="M40" s="50">
        <f>IF(L40&lt;0.1,"X",IF(L40&lt;0.3,"Y","Z"))</f>
        <v/>
      </c>
      <c r="N40" s="50">
        <f>I40&amp;M40</f>
        <v/>
      </c>
      <c r="O40" s="50">
        <f>IFERROR(VLOOKUP(N40,$T$2:$U$10,2,FALSE),"Manual")</f>
        <v/>
      </c>
      <c r="P40" s="50">
        <f>IF(AND(M40="Z",I40="C"),"SMOB RISK","OK")</f>
        <v/>
      </c>
      <c r="Q40" s="50" t="n">
        <v>0</v>
      </c>
      <c r="R40" s="50">
        <f>IF(AND(P40="SMOB RISK",Q40&gt;6),"LIQUIDATE",IF(Q40&gt;3,"REVIEW","ACTIVE"))</f>
        <v/>
      </c>
    </row>
    <row r="41" ht="15" customHeight="1">
      <c r="A41" s="55" t="inlineStr">
        <is>
          <t>FUSO-CPM-033</t>
        </is>
      </c>
      <c r="B41" s="55" t="inlineStr">
        <is>
          <t>Coolant Pump EV</t>
        </is>
      </c>
      <c r="C41" s="55" t="inlineStr">
        <is>
          <t>eCanter</t>
        </is>
      </c>
      <c r="D41" s="55" t="inlineStr">
        <is>
          <t>Japan</t>
        </is>
      </c>
      <c r="E41" s="56" t="n">
        <v>2400</v>
      </c>
      <c r="F41" s="55" t="n">
        <v>18</v>
      </c>
      <c r="G41" s="57">
        <f>E41*F41</f>
        <v/>
      </c>
      <c r="H41" s="58">
        <f>H40+G41/SUM($G$3:$G$52)</f>
        <v/>
      </c>
      <c r="I41" s="55">
        <f>IF(H41&lt;=0.7,"A",IF(H41&lt;=0.9,"B","C"))</f>
        <v/>
      </c>
      <c r="J41" s="55" t="n">
        <v>13</v>
      </c>
      <c r="K41" s="59">
        <f>F41/12</f>
        <v/>
      </c>
      <c r="L41" s="59">
        <f>IF(K41=0,9999,J41/K41)</f>
        <v/>
      </c>
      <c r="M41" s="55">
        <f>IF(L41&lt;0.1,"X",IF(L41&lt;0.3,"Y","Z"))</f>
        <v/>
      </c>
      <c r="N41" s="55">
        <f>I41&amp;M41</f>
        <v/>
      </c>
      <c r="O41" s="55">
        <f>IFERROR(VLOOKUP(N41,$T$2:$U$10,2,FALSE),"Manual")</f>
        <v/>
      </c>
      <c r="P41" s="55">
        <f>IF(AND(M41="Z",I41="C"),"SMOB RISK","OK")</f>
        <v/>
      </c>
      <c r="Q41" s="55" t="n">
        <v>3</v>
      </c>
      <c r="R41" s="55">
        <f>IF(AND(P41="SMOB RISK",Q41&gt;6),"LIQUIDATE",IF(Q41&gt;3,"REVIEW","ACTIVE"))</f>
        <v/>
      </c>
    </row>
    <row r="42" ht="15" customHeight="1">
      <c r="A42" s="55" t="inlineStr">
        <is>
          <t>FUSO-SCR-043</t>
        </is>
      </c>
      <c r="B42" s="55" t="inlineStr">
        <is>
          <t>SCR Catalyst</t>
        </is>
      </c>
      <c r="C42" s="55" t="inlineStr">
        <is>
          <t>Super Great V</t>
        </is>
      </c>
      <c r="D42" s="55" t="inlineStr">
        <is>
          <t>Japan</t>
        </is>
      </c>
      <c r="E42" s="56" t="n">
        <v>3600</v>
      </c>
      <c r="F42" s="55" t="n">
        <v>12</v>
      </c>
      <c r="G42" s="57">
        <f>E42*F42</f>
        <v/>
      </c>
      <c r="H42" s="58">
        <f>H41+G42/SUM($G$3:$G$52)</f>
        <v/>
      </c>
      <c r="I42" s="55">
        <f>IF(H42&lt;=0.7,"A",IF(H42&lt;=0.9,"B","C"))</f>
        <v/>
      </c>
      <c r="J42" s="55" t="n">
        <v>11</v>
      </c>
      <c r="K42" s="59">
        <f>F42/12</f>
        <v/>
      </c>
      <c r="L42" s="59">
        <f>IF(K42=0,9999,J42/K42)</f>
        <v/>
      </c>
      <c r="M42" s="55">
        <f>IF(L42&lt;0.1,"X",IF(L42&lt;0.3,"Y","Z"))</f>
        <v/>
      </c>
      <c r="N42" s="55">
        <f>I42&amp;M42</f>
        <v/>
      </c>
      <c r="O42" s="55">
        <f>IFERROR(VLOOKUP(N42,$T$2:$U$10,2,FALSE),"Manual")</f>
        <v/>
      </c>
      <c r="P42" s="55">
        <f>IF(AND(M42="Z",I42="C"),"SMOB RISK","OK")</f>
        <v/>
      </c>
      <c r="Q42" s="55" t="n">
        <v>6</v>
      </c>
      <c r="R42" s="55">
        <f>IF(AND(P42="SMOB RISK",Q42&gt;6),"LIQUIDATE",IF(Q42&gt;3,"REVIEW","ACTIVE"))</f>
        <v/>
      </c>
    </row>
    <row r="43" ht="15" customHeight="1">
      <c r="A43" s="55" t="inlineStr">
        <is>
          <t>FUSO-CHG-035</t>
        </is>
      </c>
      <c r="B43" s="55" t="inlineStr">
        <is>
          <t>On-Board Charger</t>
        </is>
      </c>
      <c r="C43" s="55" t="inlineStr">
        <is>
          <t>eCanter</t>
        </is>
      </c>
      <c r="D43" s="55" t="inlineStr">
        <is>
          <t>Japan</t>
        </is>
      </c>
      <c r="E43" s="56" t="n">
        <v>9500</v>
      </c>
      <c r="F43" s="55" t="n">
        <v>4</v>
      </c>
      <c r="G43" s="57">
        <f>E43*F43</f>
        <v/>
      </c>
      <c r="H43" s="58">
        <f>H42+G43/SUM($G$3:$G$52)</f>
        <v/>
      </c>
      <c r="I43" s="55">
        <f>IF(H43&lt;=0.7,"A",IF(H43&lt;=0.9,"B","C"))</f>
        <v/>
      </c>
      <c r="J43" s="55" t="n">
        <v>6</v>
      </c>
      <c r="K43" s="59">
        <f>F43/12</f>
        <v/>
      </c>
      <c r="L43" s="59">
        <f>IF(K43=0,9999,J43/K43)</f>
        <v/>
      </c>
      <c r="M43" s="55">
        <f>IF(L43&lt;0.1,"X",IF(L43&lt;0.3,"Y","Z"))</f>
        <v/>
      </c>
      <c r="N43" s="55">
        <f>I43&amp;M43</f>
        <v/>
      </c>
      <c r="O43" s="55">
        <f>IFERROR(VLOOKUP(N43,$T$2:$U$10,2,FALSE),"Manual")</f>
        <v/>
      </c>
      <c r="P43" s="55">
        <f>IF(AND(M43="Z",I43="C"),"SMOB RISK","OK")</f>
        <v/>
      </c>
      <c r="Q43" s="55" t="n">
        <v>6</v>
      </c>
      <c r="R43" s="55">
        <f>IF(AND(P43="SMOB RISK",Q43&gt;6),"LIQUIDATE",IF(Q43&gt;3,"REVIEW","ACTIVE"))</f>
        <v/>
      </c>
    </row>
    <row r="44" ht="15" customHeight="1">
      <c r="A44" s="55" t="inlineStr">
        <is>
          <t>FUSO-TIM-028</t>
        </is>
      </c>
      <c r="B44" s="55" t="inlineStr">
        <is>
          <t>Timing Chain Kit</t>
        </is>
      </c>
      <c r="C44" s="55" t="inlineStr">
        <is>
          <t>Super Great V</t>
        </is>
      </c>
      <c r="D44" s="55" t="inlineStr">
        <is>
          <t>Japan</t>
        </is>
      </c>
      <c r="E44" s="56" t="n">
        <v>2800</v>
      </c>
      <c r="F44" s="55" t="n">
        <v>12</v>
      </c>
      <c r="G44" s="57">
        <f>E44*F44</f>
        <v/>
      </c>
      <c r="H44" s="58">
        <f>H43+G44/SUM($G$3:$G$52)</f>
        <v/>
      </c>
      <c r="I44" s="55">
        <f>IF(H44&lt;=0.7,"A",IF(H44&lt;=0.9,"B","C"))</f>
        <v/>
      </c>
      <c r="J44" s="55" t="n">
        <v>10</v>
      </c>
      <c r="K44" s="59">
        <f>F44/12</f>
        <v/>
      </c>
      <c r="L44" s="59">
        <f>IF(K44=0,9999,J44/K44)</f>
        <v/>
      </c>
      <c r="M44" s="55">
        <f>IF(L44&lt;0.1,"X",IF(L44&lt;0.3,"Y","Z"))</f>
        <v/>
      </c>
      <c r="N44" s="55">
        <f>I44&amp;M44</f>
        <v/>
      </c>
      <c r="O44" s="55">
        <f>IFERROR(VLOOKUP(N44,$T$2:$U$10,2,FALSE),"Manual")</f>
        <v/>
      </c>
      <c r="P44" s="55">
        <f>IF(AND(M44="Z",I44="C"),"SMOB RISK","OK")</f>
        <v/>
      </c>
      <c r="Q44" s="55" t="n">
        <v>7</v>
      </c>
      <c r="R44" s="55">
        <f>IF(AND(P44="SMOB RISK",Q44&gt;6),"LIQUIDATE",IF(Q44&gt;3,"REVIEW","ACTIVE"))</f>
        <v/>
      </c>
    </row>
    <row r="45" ht="15" customHeight="1">
      <c r="A45" s="50" t="inlineStr">
        <is>
          <t>FUSO-PCV-047</t>
        </is>
      </c>
      <c r="B45" s="50" t="inlineStr">
        <is>
          <t>PCV Valve</t>
        </is>
      </c>
      <c r="C45" s="50" t="inlineStr">
        <is>
          <t>Canter FE</t>
        </is>
      </c>
      <c r="D45" s="50" t="inlineStr">
        <is>
          <t>Chennai</t>
        </is>
      </c>
      <c r="E45" s="51" t="n">
        <v>45</v>
      </c>
      <c r="F45" s="50" t="n">
        <v>720</v>
      </c>
      <c r="G45" s="52">
        <f>E45*F45</f>
        <v/>
      </c>
      <c r="H45" s="53">
        <f>H44+G45/SUM($G$3:$G$52)</f>
        <v/>
      </c>
      <c r="I45" s="50">
        <f>IF(H45&lt;=0.7,"A",IF(H45&lt;=0.9,"B","C"))</f>
        <v/>
      </c>
      <c r="J45" s="50" t="n">
        <v>9</v>
      </c>
      <c r="K45" s="54">
        <f>F45/12</f>
        <v/>
      </c>
      <c r="L45" s="54">
        <f>IF(K45=0,9999,J45/K45)</f>
        <v/>
      </c>
      <c r="M45" s="50">
        <f>IF(L45&lt;0.1,"X",IF(L45&lt;0.3,"Y","Z"))</f>
        <v/>
      </c>
      <c r="N45" s="50">
        <f>I45&amp;M45</f>
        <v/>
      </c>
      <c r="O45" s="50">
        <f>IFERROR(VLOOKUP(N45,$T$2:$U$10,2,FALSE),"Manual")</f>
        <v/>
      </c>
      <c r="P45" s="50">
        <f>IF(AND(M45="Z",I45="C"),"SMOB RISK","OK")</f>
        <v/>
      </c>
      <c r="Q45" s="50" t="n">
        <v>0</v>
      </c>
      <c r="R45" s="50">
        <f>IF(AND(P45="SMOB RISK",Q45&gt;6),"LIQUIDATE",IF(Q45&gt;3,"REVIEW","ACTIVE"))</f>
        <v/>
      </c>
    </row>
    <row r="46" ht="15" customHeight="1">
      <c r="A46" s="55" t="inlineStr">
        <is>
          <t>FUSO-CRK-025</t>
        </is>
      </c>
      <c r="B46" s="55" t="inlineStr">
        <is>
          <t>Crankshaft Seal Kit</t>
        </is>
      </c>
      <c r="C46" s="55" t="inlineStr">
        <is>
          <t>Super Great V</t>
        </is>
      </c>
      <c r="D46" s="55" t="inlineStr">
        <is>
          <t>Japan</t>
        </is>
      </c>
      <c r="E46" s="56" t="n">
        <v>650</v>
      </c>
      <c r="F46" s="55" t="n">
        <v>42</v>
      </c>
      <c r="G46" s="57">
        <f>E46*F46</f>
        <v/>
      </c>
      <c r="H46" s="58">
        <f>H45+G46/SUM($G$3:$G$52)</f>
        <v/>
      </c>
      <c r="I46" s="55">
        <f>IF(H46&lt;=0.7,"A",IF(H46&lt;=0.9,"B","C"))</f>
        <v/>
      </c>
      <c r="J46" s="55" t="n">
        <v>17</v>
      </c>
      <c r="K46" s="59">
        <f>F46/12</f>
        <v/>
      </c>
      <c r="L46" s="59">
        <f>IF(K46=0,9999,J46/K46)</f>
        <v/>
      </c>
      <c r="M46" s="55">
        <f>IF(L46&lt;0.1,"X",IF(L46&lt;0.3,"Y","Z"))</f>
        <v/>
      </c>
      <c r="N46" s="55">
        <f>I46&amp;M46</f>
        <v/>
      </c>
      <c r="O46" s="55">
        <f>IFERROR(VLOOKUP(N46,$T$2:$U$10,2,FALSE),"Manual")</f>
        <v/>
      </c>
      <c r="P46" s="55">
        <f>IF(AND(M46="Z",I46="C"),"SMOB RISK","OK")</f>
        <v/>
      </c>
      <c r="Q46" s="55" t="n">
        <v>4</v>
      </c>
      <c r="R46" s="55">
        <f>IF(AND(P46="SMOB RISK",Q46&gt;6),"LIQUIDATE",IF(Q46&gt;3,"REVIEW","ACTIVE"))</f>
        <v/>
      </c>
    </row>
    <row r="47" ht="15" customHeight="1">
      <c r="A47" s="55" t="inlineStr">
        <is>
          <t>FUSO-CAM-026</t>
        </is>
      </c>
      <c r="B47" s="55" t="inlineStr">
        <is>
          <t>Camshaft Bearing</t>
        </is>
      </c>
      <c r="C47" s="55" t="inlineStr">
        <is>
          <t>Super Great V</t>
        </is>
      </c>
      <c r="D47" s="55" t="inlineStr">
        <is>
          <t>Japan</t>
        </is>
      </c>
      <c r="E47" s="56" t="n">
        <v>1200</v>
      </c>
      <c r="F47" s="55" t="n">
        <v>18</v>
      </c>
      <c r="G47" s="57">
        <f>E47*F47</f>
        <v/>
      </c>
      <c r="H47" s="58">
        <f>H46+G47/SUM($G$3:$G$52)</f>
        <v/>
      </c>
      <c r="I47" s="55">
        <f>IF(H47&lt;=0.7,"A",IF(H47&lt;=0.9,"B","C"))</f>
        <v/>
      </c>
      <c r="J47" s="55" t="n">
        <v>12</v>
      </c>
      <c r="K47" s="59">
        <f>F47/12</f>
        <v/>
      </c>
      <c r="L47" s="59">
        <f>IF(K47=0,9999,J47/K47)</f>
        <v/>
      </c>
      <c r="M47" s="55">
        <f>IF(L47&lt;0.1,"X",IF(L47&lt;0.3,"Y","Z"))</f>
        <v/>
      </c>
      <c r="N47" s="55">
        <f>I47&amp;M47</f>
        <v/>
      </c>
      <c r="O47" s="55">
        <f>IFERROR(VLOOKUP(N47,$T$2:$U$10,2,FALSE),"Manual")</f>
        <v/>
      </c>
      <c r="P47" s="55">
        <f>IF(AND(M47="Z",I47="C"),"SMOB RISK","OK")</f>
        <v/>
      </c>
      <c r="Q47" s="55" t="n">
        <v>6</v>
      </c>
      <c r="R47" s="55">
        <f>IF(AND(P47="SMOB RISK",Q47&gt;6),"LIQUIDATE",IF(Q47&gt;3,"REVIEW","ACTIVE"))</f>
        <v/>
      </c>
    </row>
    <row r="48" ht="15" customHeight="1">
      <c r="A48" s="55" t="inlineStr">
        <is>
          <t>FUSO-PIS-030</t>
        </is>
      </c>
      <c r="B48" s="55" t="inlineStr">
        <is>
          <t>Piston Ring Set</t>
        </is>
      </c>
      <c r="C48" s="55" t="inlineStr">
        <is>
          <t>Super Great V</t>
        </is>
      </c>
      <c r="D48" s="55" t="inlineStr">
        <is>
          <t>Japan</t>
        </is>
      </c>
      <c r="E48" s="56" t="n">
        <v>3200</v>
      </c>
      <c r="F48" s="55" t="n">
        <v>6</v>
      </c>
      <c r="G48" s="57">
        <f>E48*F48</f>
        <v/>
      </c>
      <c r="H48" s="58">
        <f>H47+G48/SUM($G$3:$G$52)</f>
        <v/>
      </c>
      <c r="I48" s="55">
        <f>IF(H48&lt;=0.7,"A",IF(H48&lt;=0.9,"B","C"))</f>
        <v/>
      </c>
      <c r="J48" s="55" t="n">
        <v>8</v>
      </c>
      <c r="K48" s="59">
        <f>F48/12</f>
        <v/>
      </c>
      <c r="L48" s="59">
        <f>IF(K48=0,9999,J48/K48)</f>
        <v/>
      </c>
      <c r="M48" s="55">
        <f>IF(L48&lt;0.1,"X",IF(L48&lt;0.3,"Y","Z"))</f>
        <v/>
      </c>
      <c r="N48" s="55">
        <f>I48&amp;M48</f>
        <v/>
      </c>
      <c r="O48" s="55">
        <f>IFERROR(VLOOKUP(N48,$T$2:$U$10,2,FALSE),"Manual")</f>
        <v/>
      </c>
      <c r="P48" s="55">
        <f>IF(AND(M48="Z",I48="C"),"SMOB RISK","OK")</f>
        <v/>
      </c>
      <c r="Q48" s="55" t="n">
        <v>8</v>
      </c>
      <c r="R48" s="55">
        <f>IF(AND(P48="SMOB RISK",Q48&gt;6),"LIQUIDATE",IF(Q48&gt;3,"REVIEW","ACTIVE"))</f>
        <v/>
      </c>
    </row>
    <row r="49" ht="15" customHeight="1">
      <c r="A49" s="55" t="inlineStr">
        <is>
          <t>FUSO-NOX-042</t>
        </is>
      </c>
      <c r="B49" s="55" t="inlineStr">
        <is>
          <t>NOx Sensor</t>
        </is>
      </c>
      <c r="C49" s="55" t="inlineStr">
        <is>
          <t>Super Great V</t>
        </is>
      </c>
      <c r="D49" s="55" t="inlineStr">
        <is>
          <t>Japan</t>
        </is>
      </c>
      <c r="E49" s="56" t="n">
        <v>780</v>
      </c>
      <c r="F49" s="55" t="n">
        <v>24</v>
      </c>
      <c r="G49" s="57">
        <f>E49*F49</f>
        <v/>
      </c>
      <c r="H49" s="58">
        <f>H48+G49/SUM($G$3:$G$52)</f>
        <v/>
      </c>
      <c r="I49" s="55">
        <f>IF(H49&lt;=0.7,"A",IF(H49&lt;=0.9,"B","C"))</f>
        <v/>
      </c>
      <c r="J49" s="55" t="n">
        <v>15</v>
      </c>
      <c r="K49" s="59">
        <f>F49/12</f>
        <v/>
      </c>
      <c r="L49" s="59">
        <f>IF(K49=0,9999,J49/K49)</f>
        <v/>
      </c>
      <c r="M49" s="55">
        <f>IF(L49&lt;0.1,"X",IF(L49&lt;0.3,"Y","Z"))</f>
        <v/>
      </c>
      <c r="N49" s="55">
        <f>I49&amp;M49</f>
        <v/>
      </c>
      <c r="O49" s="55">
        <f>IFERROR(VLOOKUP(N49,$T$2:$U$10,2,FALSE),"Manual")</f>
        <v/>
      </c>
      <c r="P49" s="55">
        <f>IF(AND(M49="Z",I49="C"),"SMOB RISK","OK")</f>
        <v/>
      </c>
      <c r="Q49" s="55" t="n">
        <v>5</v>
      </c>
      <c r="R49" s="55">
        <f>IF(AND(P49="SMOB RISK",Q49&gt;6),"LIQUIDATE",IF(Q49&gt;3,"REVIEW","ACTIVE"))</f>
        <v/>
      </c>
    </row>
    <row r="50" ht="15" customHeight="1">
      <c r="A50" s="55" t="inlineStr">
        <is>
          <t>FUSO-OPS-027</t>
        </is>
      </c>
      <c r="B50" s="55" t="inlineStr">
        <is>
          <t>Oil Pan Gasket</t>
        </is>
      </c>
      <c r="C50" s="55" t="inlineStr">
        <is>
          <t>Super Great V</t>
        </is>
      </c>
      <c r="D50" s="55" t="inlineStr">
        <is>
          <t>Japan</t>
        </is>
      </c>
      <c r="E50" s="56" t="n">
        <v>380</v>
      </c>
      <c r="F50" s="55" t="n">
        <v>36</v>
      </c>
      <c r="G50" s="57">
        <f>E50*F50</f>
        <v/>
      </c>
      <c r="H50" s="58">
        <f>H49+G50/SUM($G$3:$G$52)</f>
        <v/>
      </c>
      <c r="I50" s="55">
        <f>IF(H50&lt;=0.7,"A",IF(H50&lt;=0.9,"B","C"))</f>
        <v/>
      </c>
      <c r="J50" s="55" t="n">
        <v>14</v>
      </c>
      <c r="K50" s="59">
        <f>F50/12</f>
        <v/>
      </c>
      <c r="L50" s="59">
        <f>IF(K50=0,9999,J50/K50)</f>
        <v/>
      </c>
      <c r="M50" s="55">
        <f>IF(L50&lt;0.1,"X",IF(L50&lt;0.3,"Y","Z"))</f>
        <v/>
      </c>
      <c r="N50" s="55">
        <f>I50&amp;M50</f>
        <v/>
      </c>
      <c r="O50" s="55">
        <f>IFERROR(VLOOKUP(N50,$T$2:$U$10,2,FALSE),"Manual")</f>
        <v/>
      </c>
      <c r="P50" s="55">
        <f>IF(AND(M50="Z",I50="C"),"SMOB RISK","OK")</f>
        <v/>
      </c>
      <c r="Q50" s="55" t="n">
        <v>5</v>
      </c>
      <c r="R50" s="55">
        <f>IF(AND(P50="SMOB RISK",Q50&gt;6),"LIQUIDATE",IF(Q50&gt;3,"REVIEW","ACTIVE"))</f>
        <v/>
      </c>
    </row>
    <row r="51" ht="15" customHeight="1">
      <c r="A51" s="55" t="inlineStr">
        <is>
          <t>FUSO-VLV-029</t>
        </is>
      </c>
      <c r="B51" s="55" t="inlineStr">
        <is>
          <t>Valve Cover Gasket</t>
        </is>
      </c>
      <c r="C51" s="55" t="inlineStr">
        <is>
          <t>Super Great V</t>
        </is>
      </c>
      <c r="D51" s="55" t="inlineStr">
        <is>
          <t>Japan</t>
        </is>
      </c>
      <c r="E51" s="56" t="n">
        <v>420</v>
      </c>
      <c r="F51" s="55" t="n">
        <v>24</v>
      </c>
      <c r="G51" s="57">
        <f>E51*F51</f>
        <v/>
      </c>
      <c r="H51" s="58">
        <f>H50+G51/SUM($G$3:$G$52)</f>
        <v/>
      </c>
      <c r="I51" s="55">
        <f>IF(H51&lt;=0.7,"A",IF(H51&lt;=0.9,"B","C"))</f>
        <v/>
      </c>
      <c r="J51" s="55" t="n">
        <v>13</v>
      </c>
      <c r="K51" s="59">
        <f>F51/12</f>
        <v/>
      </c>
      <c r="L51" s="59">
        <f>IF(K51=0,9999,J51/K51)</f>
        <v/>
      </c>
      <c r="M51" s="55">
        <f>IF(L51&lt;0.1,"X",IF(L51&lt;0.3,"Y","Z"))</f>
        <v/>
      </c>
      <c r="N51" s="55">
        <f>I51&amp;M51</f>
        <v/>
      </c>
      <c r="O51" s="55">
        <f>IFERROR(VLOOKUP(N51,$T$2:$U$10,2,FALSE),"Manual")</f>
        <v/>
      </c>
      <c r="P51" s="55">
        <f>IF(AND(M51="Z",I51="C"),"SMOB RISK","OK")</f>
        <v/>
      </c>
      <c r="Q51" s="55" t="n">
        <v>6</v>
      </c>
      <c r="R51" s="55">
        <f>IF(AND(P51="SMOB RISK",Q51&gt;6),"LIQUIDATE",IF(Q51&gt;3,"REVIEW","ACTIVE"))</f>
        <v/>
      </c>
    </row>
    <row r="52" ht="15" customHeight="1">
      <c r="A52" s="55" t="inlineStr">
        <is>
          <t>FUSO-GKT-039</t>
        </is>
      </c>
      <c r="B52" s="55" t="inlineStr">
        <is>
          <t>Rocker Cover Gasket</t>
        </is>
      </c>
      <c r="C52" s="55" t="inlineStr">
        <is>
          <t>Super Great V</t>
        </is>
      </c>
      <c r="D52" s="55" t="inlineStr">
        <is>
          <t>Japan</t>
        </is>
      </c>
      <c r="E52" s="56" t="n">
        <v>280</v>
      </c>
      <c r="F52" s="55" t="n">
        <v>30</v>
      </c>
      <c r="G52" s="57">
        <f>E52*F52</f>
        <v/>
      </c>
      <c r="H52" s="58">
        <f>H51+G52/SUM($G$3:$G$52)</f>
        <v/>
      </c>
      <c r="I52" s="55">
        <f>IF(H52&lt;=0.7,"A",IF(H52&lt;=0.9,"B","C"))</f>
        <v/>
      </c>
      <c r="J52" s="55" t="n">
        <v>14</v>
      </c>
      <c r="K52" s="59">
        <f>F52/12</f>
        <v/>
      </c>
      <c r="L52" s="59">
        <f>IF(K52=0,9999,J52/K52)</f>
        <v/>
      </c>
      <c r="M52" s="55">
        <f>IF(L52&lt;0.1,"X",IF(L52&lt;0.3,"Y","Z"))</f>
        <v/>
      </c>
      <c r="N52" s="55">
        <f>I52&amp;M52</f>
        <v/>
      </c>
      <c r="O52" s="55">
        <f>IFERROR(VLOOKUP(N52,$T$2:$U$10,2,FALSE),"Manual")</f>
        <v/>
      </c>
      <c r="P52" s="55">
        <f>IF(AND(M52="Z",I52="C"),"SMOB RISK","OK")</f>
        <v/>
      </c>
      <c r="Q52" s="55" t="n">
        <v>6</v>
      </c>
      <c r="R52" s="55">
        <f>IF(AND(P52="SMOB RISK",Q52&gt;6),"LIQUIDATE",IF(Q52&gt;3,"REVIEW","ACTIVE"))</f>
        <v/>
      </c>
    </row>
  </sheetData>
  <mergeCells count="1">
    <mergeCell ref="A1:R1"/>
  </mergeCells>
  <conditionalFormatting sqref="A3:R52">
    <cfRule type="expression" priority="1" dxfId="0" stopIfTrue="0">
      <formula>$P3="SMOB RISK"</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90"/>
  <sheetViews>
    <sheetView showGridLines="0"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4" customWidth="1" min="2" max="2"/>
    <col width="14" customWidth="1" min="3" max="3"/>
    <col width="14" customWidth="1" min="4" max="4"/>
    <col width="18" customWidth="1" min="5" max="5"/>
    <col width="18" customWidth="1" min="6" max="6"/>
    <col width="18" customWidth="1" min="7" max="7"/>
    <col width="18" customWidth="1" min="8" max="8"/>
    <col width="12" customWidth="1" min="9" max="9"/>
    <col width="18" customWidth="1" min="10" max="10"/>
    <col width="14" customWidth="1" min="11" max="11"/>
    <col width="14" customWidth="1" min="12" max="12"/>
    <col width="16" customWidth="1" min="13" max="13"/>
    <col width="18" customWidth="1" min="14" max="14"/>
    <col width="18" customWidth="1" min="15" max="15"/>
    <col width="20" customWidth="1" min="16" max="16"/>
    <col width="18" customWidth="1" min="17" max="17"/>
  </cols>
  <sheetData>
    <row r="1" ht="30" customHeight="1">
      <c r="A1" s="60" t="inlineStr">
        <is>
          <t>SBA ENGINE — Syntetos-Boylan Approximation Consensus Forecasting</t>
        </is>
      </c>
    </row>
    <row r="3" ht="20" customHeight="1">
      <c r="A3" s="2" t="inlineStr">
        <is>
          <t>INPUTS (Blue = Editable)</t>
        </is>
      </c>
      <c r="B3" s="3" t="n"/>
      <c r="C3" s="3" t="n"/>
      <c r="D3" s="4" t="n"/>
    </row>
    <row r="4" ht="18" customHeight="1">
      <c r="A4" s="61" t="inlineStr">
        <is>
          <t>Alpha (Smoothing)</t>
        </is>
      </c>
      <c r="B4" s="4" t="n"/>
      <c r="C4" s="62" t="n">
        <v>0.1</v>
      </c>
    </row>
    <row r="5" ht="18" customHeight="1">
      <c r="A5" s="61" t="inlineStr">
        <is>
          <t>Service Level</t>
        </is>
      </c>
      <c r="B5" s="4" t="n"/>
      <c r="C5" s="62" t="n">
        <v>0.95</v>
      </c>
    </row>
    <row r="6" ht="18" customHeight="1">
      <c r="A6" s="61" t="inlineStr">
        <is>
          <t>Review Period (days)</t>
        </is>
      </c>
      <c r="B6" s="4" t="n"/>
      <c r="C6" s="62" t="n">
        <v>7</v>
      </c>
    </row>
    <row r="8" ht="22" customHeight="1">
      <c r="A8" s="2" t="inlineStr">
        <is>
          <t>PART: FUSO-TRN-003 (Transmission Fluid Kit)</t>
        </is>
      </c>
      <c r="B8" s="3" t="n"/>
      <c r="C8" s="3" t="n"/>
      <c r="D8" s="3" t="n"/>
      <c r="E8" s="3" t="n"/>
      <c r="F8" s="3" t="n"/>
      <c r="G8" s="3" t="n"/>
      <c r="H8" s="3" t="n"/>
      <c r="I8" s="3" t="n"/>
      <c r="J8" s="3" t="n"/>
      <c r="K8" s="3" t="n"/>
      <c r="L8" s="3" t="n"/>
      <c r="M8" s="3" t="n"/>
      <c r="N8" s="3" t="n"/>
      <c r="O8" s="3" t="n"/>
      <c r="P8" s="3" t="n"/>
      <c r="Q8" s="4" t="n"/>
    </row>
    <row r="9" ht="30" customHeight="1">
      <c r="A9" s="63" t="inlineStr">
        <is>
          <t>Month</t>
        </is>
      </c>
      <c r="B9" s="63" t="inlineStr">
        <is>
          <t>Actual Demand</t>
        </is>
      </c>
      <c r="C9" s="63" t="inlineStr">
        <is>
          <t>Occurrence (1/0)</t>
        </is>
      </c>
      <c r="D9" s="63" t="inlineStr">
        <is>
          <t>Interval (p)</t>
        </is>
      </c>
      <c r="E9" s="63" t="inlineStr">
        <is>
          <t>Smoothed Size (ẑ)</t>
        </is>
      </c>
      <c r="F9" s="63" t="inlineStr">
        <is>
          <t>Smoothed Interval (p̂)</t>
        </is>
      </c>
      <c r="G9" s="63" t="inlineStr">
        <is>
          <t>SAP APO (3-MA)</t>
        </is>
      </c>
      <c r="H9" s="63" t="inlineStr">
        <is>
          <t>SBA Forecast</t>
        </is>
      </c>
      <c r="I9" s="63" t="inlineStr">
        <is>
          <t>MAE</t>
        </is>
      </c>
      <c r="J9" s="63" t="inlineStr">
        <is>
          <t>Cumul Fcst Error</t>
        </is>
      </c>
      <c r="K9" s="63" t="inlineStr">
        <is>
          <t>MAD</t>
        </is>
      </c>
      <c r="L9" s="63" t="inlineStr">
        <is>
          <t>Tracking Signal</t>
        </is>
      </c>
      <c r="M9" s="63" t="inlineStr">
        <is>
          <t>Alert</t>
        </is>
      </c>
      <c r="N9" s="63" t="inlineStr">
        <is>
          <t>Fleet Age Modifier</t>
        </is>
      </c>
      <c r="O9" s="63" t="inlineStr">
        <is>
          <t>DTC Modifier</t>
        </is>
      </c>
      <c r="P9" s="63" t="inlineStr">
        <is>
          <t>Final Adj Forecast</t>
        </is>
      </c>
      <c r="Q9" s="63" t="inlineStr">
        <is>
          <t>Forecast Source</t>
        </is>
      </c>
    </row>
    <row r="10" ht="16" customHeight="1">
      <c r="A10" s="64" t="inlineStr">
        <is>
          <t>Jan-25</t>
        </is>
      </c>
      <c r="B10" s="65" t="n">
        <v>8</v>
      </c>
      <c r="C10" s="64">
        <f>IF(B10&gt;0,1,0)</f>
        <v/>
      </c>
      <c r="D10" s="64" t="n">
        <v>1</v>
      </c>
      <c r="E10" s="66" t="n">
        <v>8</v>
      </c>
      <c r="F10" s="66" t="n">
        <v>1</v>
      </c>
      <c r="G10" s="66" t="n">
        <v>8</v>
      </c>
      <c r="H10" s="66">
        <f>(1-$C$4/2)*(E10/IF(F10=0,1,F10))</f>
        <v/>
      </c>
      <c r="I10" s="66">
        <f>ABS(H10-B10)</f>
        <v/>
      </c>
      <c r="J10" s="66">
        <f>H10-B10</f>
        <v/>
      </c>
      <c r="K10" s="66">
        <f>AVERAGE($I$10:I10)</f>
        <v/>
      </c>
      <c r="L10" s="66">
        <f>IF(K10=0,0,J10/K10)</f>
        <v/>
      </c>
      <c r="M10" s="64">
        <f>IF(OR(L10&gt;4,L10&lt;-4),"INTERVENE","OK")</f>
        <v/>
      </c>
      <c r="N10" s="67" t="n">
        <v>1</v>
      </c>
      <c r="O10" s="67" t="n">
        <v>1</v>
      </c>
      <c r="P10" s="68">
        <f>H10*N10*O10</f>
        <v/>
      </c>
      <c r="Q10" s="64">
        <f>IF(O10&lt;&gt;1,"SBA+Causal","SBA Only")</f>
        <v/>
      </c>
    </row>
    <row r="11" ht="16" customHeight="1">
      <c r="A11" s="64" t="inlineStr">
        <is>
          <t>Feb-25</t>
        </is>
      </c>
      <c r="B11" s="65" t="n">
        <v>9</v>
      </c>
      <c r="C11" s="64">
        <f>IF(B11&gt;0,1,0)</f>
        <v/>
      </c>
      <c r="D11" s="64" t="n">
        <v>1</v>
      </c>
      <c r="E11" s="66">
        <f>IF(B11&gt;0,$C$4*B11+(1-$C$4)*E10,E10)</f>
        <v/>
      </c>
      <c r="F11" s="66">
        <f>IF(B11&gt;0,$C$4*D11+(1-$C$4)*F10,F10)</f>
        <v/>
      </c>
      <c r="G11" s="66" t="n">
        <v>9</v>
      </c>
      <c r="H11" s="66">
        <f>(1-$C$4/2)*(E11/IF(F11=0,1,F11))</f>
        <v/>
      </c>
      <c r="I11" s="66">
        <f>ABS(H11-B11)</f>
        <v/>
      </c>
      <c r="J11" s="66">
        <f>J10+(H11-B11)</f>
        <v/>
      </c>
      <c r="K11" s="66">
        <f>AVERAGE($I$10:I11)</f>
        <v/>
      </c>
      <c r="L11" s="66">
        <f>IF(K11=0,0,J11/K11)</f>
        <v/>
      </c>
      <c r="M11" s="64">
        <f>IF(OR(L11&gt;4,L11&lt;-4),"INTERVENE","OK")</f>
        <v/>
      </c>
      <c r="N11" s="67" t="n">
        <v>1</v>
      </c>
      <c r="O11" s="67" t="n">
        <v>1</v>
      </c>
      <c r="P11" s="68">
        <f>H11*N11*O11</f>
        <v/>
      </c>
      <c r="Q11" s="64">
        <f>IF(O11&lt;&gt;1,"SBA+Causal","SBA Only")</f>
        <v/>
      </c>
    </row>
    <row r="12" ht="16" customHeight="1">
      <c r="A12" s="64" t="inlineStr">
        <is>
          <t>Mar-25</t>
        </is>
      </c>
      <c r="B12" s="65" t="n">
        <v>0</v>
      </c>
      <c r="C12" s="64">
        <f>IF(B12&gt;0,1,0)</f>
        <v/>
      </c>
      <c r="D12" s="64" t="n">
        <v>2</v>
      </c>
      <c r="E12" s="66">
        <f>IF(B12&gt;0,$C$4*B12+(1-$C$4)*E11,E11)</f>
        <v/>
      </c>
      <c r="F12" s="66">
        <f>IF(B12&gt;0,$C$4*D12+(1-$C$4)*F11,F11)</f>
        <v/>
      </c>
      <c r="G12" s="66" t="n">
        <v>0</v>
      </c>
      <c r="H12" s="66">
        <f>(1-$C$4/2)*(E12/IF(F12=0,1,F12))</f>
        <v/>
      </c>
      <c r="I12" s="66">
        <f>ABS(H12-B12)</f>
        <v/>
      </c>
      <c r="J12" s="66">
        <f>J11+(H12-B12)</f>
        <v/>
      </c>
      <c r="K12" s="66">
        <f>AVERAGE($I$10:I12)</f>
        <v/>
      </c>
      <c r="L12" s="66">
        <f>IF(K12=0,0,J12/K12)</f>
        <v/>
      </c>
      <c r="M12" s="64">
        <f>IF(OR(L12&gt;4,L12&lt;-4),"INTERVENE","OK")</f>
        <v/>
      </c>
      <c r="N12" s="67" t="n">
        <v>1</v>
      </c>
      <c r="O12" s="67" t="n">
        <v>1</v>
      </c>
      <c r="P12" s="68">
        <f>H12*N12*O12</f>
        <v/>
      </c>
      <c r="Q12" s="64">
        <f>IF(O12&lt;&gt;1,"SBA+Causal","SBA Only")</f>
        <v/>
      </c>
    </row>
    <row r="13" ht="16" customHeight="1">
      <c r="A13" s="64" t="inlineStr">
        <is>
          <t>Apr-25</t>
        </is>
      </c>
      <c r="B13" s="65" t="n">
        <v>11</v>
      </c>
      <c r="C13" s="64">
        <f>IF(B13&gt;0,1,0)</f>
        <v/>
      </c>
      <c r="D13" s="64" t="n">
        <v>1</v>
      </c>
      <c r="E13" s="66">
        <f>IF(B13&gt;0,$C$4*B13+(1-$C$4)*E12,E12)</f>
        <v/>
      </c>
      <c r="F13" s="66">
        <f>IF(B13&gt;0,$C$4*D13+(1-$C$4)*F12,F12)</f>
        <v/>
      </c>
      <c r="G13" s="66">
        <f>AVERAGE(B10:B12)</f>
        <v/>
      </c>
      <c r="H13" s="66">
        <f>(1-$C$4/2)*(E13/IF(F13=0,1,F13))</f>
        <v/>
      </c>
      <c r="I13" s="66">
        <f>ABS(H13-B13)</f>
        <v/>
      </c>
      <c r="J13" s="66">
        <f>J12+(H13-B13)</f>
        <v/>
      </c>
      <c r="K13" s="66">
        <f>AVERAGE($I$10:I13)</f>
        <v/>
      </c>
      <c r="L13" s="66">
        <f>IF(K13=0,0,J13/K13)</f>
        <v/>
      </c>
      <c r="M13" s="64">
        <f>IF(OR(L13&gt;4,L13&lt;-4),"INTERVENE","OK")</f>
        <v/>
      </c>
      <c r="N13" s="67" t="n">
        <v>1</v>
      </c>
      <c r="O13" s="67" t="n">
        <v>1</v>
      </c>
      <c r="P13" s="68">
        <f>H13*N13*O13</f>
        <v/>
      </c>
      <c r="Q13" s="64">
        <f>IF(O13&lt;&gt;1,"SBA+Causal","SBA Only")</f>
        <v/>
      </c>
    </row>
    <row r="14" ht="16" customHeight="1">
      <c r="A14" s="64" t="inlineStr">
        <is>
          <t>May-25</t>
        </is>
      </c>
      <c r="B14" s="65" t="n">
        <v>8</v>
      </c>
      <c r="C14" s="64">
        <f>IF(B14&gt;0,1,0)</f>
        <v/>
      </c>
      <c r="D14" s="64" t="n">
        <v>1</v>
      </c>
      <c r="E14" s="66">
        <f>IF(B14&gt;0,$C$4*B14+(1-$C$4)*E13,E13)</f>
        <v/>
      </c>
      <c r="F14" s="66">
        <f>IF(B14&gt;0,$C$4*D14+(1-$C$4)*F13,F13)</f>
        <v/>
      </c>
      <c r="G14" s="66">
        <f>AVERAGE(B11:B13)</f>
        <v/>
      </c>
      <c r="H14" s="66">
        <f>(1-$C$4/2)*(E14/IF(F14=0,1,F14))</f>
        <v/>
      </c>
      <c r="I14" s="66">
        <f>ABS(H14-B14)</f>
        <v/>
      </c>
      <c r="J14" s="66">
        <f>J13+(H14-B14)</f>
        <v/>
      </c>
      <c r="K14" s="66">
        <f>AVERAGE($I$10:I14)</f>
        <v/>
      </c>
      <c r="L14" s="66">
        <f>IF(K14=0,0,J14/K14)</f>
        <v/>
      </c>
      <c r="M14" s="64">
        <f>IF(OR(L14&gt;4,L14&lt;-4),"INTERVENE","OK")</f>
        <v/>
      </c>
      <c r="N14" s="67" t="n">
        <v>1</v>
      </c>
      <c r="O14" s="67" t="n">
        <v>1</v>
      </c>
      <c r="P14" s="68">
        <f>H14*N14*O14</f>
        <v/>
      </c>
      <c r="Q14" s="64">
        <f>IF(O14&lt;&gt;1,"SBA+Causal","SBA Only")</f>
        <v/>
      </c>
    </row>
    <row r="15" ht="16" customHeight="1">
      <c r="A15" s="64" t="inlineStr">
        <is>
          <t>Jun-25</t>
        </is>
      </c>
      <c r="B15" s="65" t="n">
        <v>0</v>
      </c>
      <c r="C15" s="64">
        <f>IF(B15&gt;0,1,0)</f>
        <v/>
      </c>
      <c r="D15" s="64" t="n">
        <v>2</v>
      </c>
      <c r="E15" s="66">
        <f>IF(B15&gt;0,$C$4*B15+(1-$C$4)*E14,E14)</f>
        <v/>
      </c>
      <c r="F15" s="66">
        <f>IF(B15&gt;0,$C$4*D15+(1-$C$4)*F14,F14)</f>
        <v/>
      </c>
      <c r="G15" s="66">
        <f>AVERAGE(B12:B14)</f>
        <v/>
      </c>
      <c r="H15" s="66">
        <f>(1-$C$4/2)*(E15/IF(F15=0,1,F15))</f>
        <v/>
      </c>
      <c r="I15" s="66">
        <f>ABS(H15-B15)</f>
        <v/>
      </c>
      <c r="J15" s="66">
        <f>J14+(H15-B15)</f>
        <v/>
      </c>
      <c r="K15" s="66">
        <f>AVERAGE($I$10:I15)</f>
        <v/>
      </c>
      <c r="L15" s="66">
        <f>IF(K15=0,0,J15/K15)</f>
        <v/>
      </c>
      <c r="M15" s="64">
        <f>IF(OR(L15&gt;4,L15&lt;-4),"INTERVENE","OK")</f>
        <v/>
      </c>
      <c r="N15" s="67" t="n">
        <v>1</v>
      </c>
      <c r="O15" s="67" t="n">
        <v>1</v>
      </c>
      <c r="P15" s="68">
        <f>H15*N15*O15</f>
        <v/>
      </c>
      <c r="Q15" s="64">
        <f>IF(O15&lt;&gt;1,"SBA+Causal","SBA Only")</f>
        <v/>
      </c>
    </row>
    <row r="16" ht="16" customHeight="1">
      <c r="A16" s="64" t="inlineStr">
        <is>
          <t>Jul-25</t>
        </is>
      </c>
      <c r="B16" s="65" t="n">
        <v>10</v>
      </c>
      <c r="C16" s="64">
        <f>IF(B16&gt;0,1,0)</f>
        <v/>
      </c>
      <c r="D16" s="64" t="n">
        <v>1</v>
      </c>
      <c r="E16" s="66">
        <f>IF(B16&gt;0,$C$4*B16+(1-$C$4)*E15,E15)</f>
        <v/>
      </c>
      <c r="F16" s="66">
        <f>IF(B16&gt;0,$C$4*D16+(1-$C$4)*F15,F15)</f>
        <v/>
      </c>
      <c r="G16" s="66">
        <f>AVERAGE(B13:B15)</f>
        <v/>
      </c>
      <c r="H16" s="66">
        <f>(1-$C$4/2)*(E16/IF(F16=0,1,F16))</f>
        <v/>
      </c>
      <c r="I16" s="66">
        <f>ABS(H16-B16)</f>
        <v/>
      </c>
      <c r="J16" s="66">
        <f>J15+(H16-B16)</f>
        <v/>
      </c>
      <c r="K16" s="66">
        <f>AVERAGE($I$10:I16)</f>
        <v/>
      </c>
      <c r="L16" s="66">
        <f>IF(K16=0,0,J16/K16)</f>
        <v/>
      </c>
      <c r="M16" s="64">
        <f>IF(OR(L16&gt;4,L16&lt;-4),"INTERVENE","OK")</f>
        <v/>
      </c>
      <c r="N16" s="67" t="n">
        <v>1</v>
      </c>
      <c r="O16" s="67" t="n">
        <v>1</v>
      </c>
      <c r="P16" s="68">
        <f>H16*N16*O16</f>
        <v/>
      </c>
      <c r="Q16" s="64">
        <f>IF(O16&lt;&gt;1,"SBA+Causal","SBA Only")</f>
        <v/>
      </c>
    </row>
    <row r="17" ht="16" customHeight="1">
      <c r="A17" s="64" t="inlineStr">
        <is>
          <t>Aug-25</t>
        </is>
      </c>
      <c r="B17" s="65" t="n">
        <v>9</v>
      </c>
      <c r="C17" s="64">
        <f>IF(B17&gt;0,1,0)</f>
        <v/>
      </c>
      <c r="D17" s="64" t="n">
        <v>1</v>
      </c>
      <c r="E17" s="66">
        <f>IF(B17&gt;0,$C$4*B17+(1-$C$4)*E16,E16)</f>
        <v/>
      </c>
      <c r="F17" s="66">
        <f>IF(B17&gt;0,$C$4*D17+(1-$C$4)*F16,F16)</f>
        <v/>
      </c>
      <c r="G17" s="66">
        <f>AVERAGE(B14:B16)</f>
        <v/>
      </c>
      <c r="H17" s="66">
        <f>(1-$C$4/2)*(E17/IF(F17=0,1,F17))</f>
        <v/>
      </c>
      <c r="I17" s="66">
        <f>ABS(H17-B17)</f>
        <v/>
      </c>
      <c r="J17" s="66">
        <f>J16+(H17-B17)</f>
        <v/>
      </c>
      <c r="K17" s="66">
        <f>AVERAGE($I$10:I17)</f>
        <v/>
      </c>
      <c r="L17" s="66">
        <f>IF(K17=0,0,J17/K17)</f>
        <v/>
      </c>
      <c r="M17" s="64">
        <f>IF(OR(L17&gt;4,L17&lt;-4),"INTERVENE","OK")</f>
        <v/>
      </c>
      <c r="N17" s="67" t="n">
        <v>1</v>
      </c>
      <c r="O17" s="67" t="n">
        <v>1</v>
      </c>
      <c r="P17" s="68">
        <f>H17*N17*O17</f>
        <v/>
      </c>
      <c r="Q17" s="64">
        <f>IF(O17&lt;&gt;1,"SBA+Causal","SBA Only")</f>
        <v/>
      </c>
    </row>
    <row r="18" ht="16" customHeight="1">
      <c r="A18" s="64" t="inlineStr">
        <is>
          <t>Sep-25</t>
        </is>
      </c>
      <c r="B18" s="65" t="n">
        <v>0</v>
      </c>
      <c r="C18" s="64">
        <f>IF(B18&gt;0,1,0)</f>
        <v/>
      </c>
      <c r="D18" s="64" t="n">
        <v>2</v>
      </c>
      <c r="E18" s="66">
        <f>IF(B18&gt;0,$C$4*B18+(1-$C$4)*E17,E17)</f>
        <v/>
      </c>
      <c r="F18" s="66">
        <f>IF(B18&gt;0,$C$4*D18+(1-$C$4)*F17,F17)</f>
        <v/>
      </c>
      <c r="G18" s="66">
        <f>AVERAGE(B15:B17)</f>
        <v/>
      </c>
      <c r="H18" s="66">
        <f>(1-$C$4/2)*(E18/IF(F18=0,1,F18))</f>
        <v/>
      </c>
      <c r="I18" s="66">
        <f>ABS(H18-B18)</f>
        <v/>
      </c>
      <c r="J18" s="66">
        <f>J17+(H18-B18)</f>
        <v/>
      </c>
      <c r="K18" s="66">
        <f>AVERAGE($I$10:I18)</f>
        <v/>
      </c>
      <c r="L18" s="66">
        <f>IF(K18=0,0,J18/K18)</f>
        <v/>
      </c>
      <c r="M18" s="64">
        <f>IF(OR(L18&gt;4,L18&lt;-4),"INTERVENE","OK")</f>
        <v/>
      </c>
      <c r="N18" s="67" t="n">
        <v>1</v>
      </c>
      <c r="O18" s="67" t="n">
        <v>1</v>
      </c>
      <c r="P18" s="68">
        <f>H18*N18*O18</f>
        <v/>
      </c>
      <c r="Q18" s="64">
        <f>IF(O18&lt;&gt;1,"SBA+Causal","SBA Only")</f>
        <v/>
      </c>
    </row>
    <row r="19" ht="16" customHeight="1">
      <c r="A19" s="64" t="inlineStr">
        <is>
          <t>Oct-25</t>
        </is>
      </c>
      <c r="B19" s="65" t="n">
        <v>12</v>
      </c>
      <c r="C19" s="64">
        <f>IF(B19&gt;0,1,0)</f>
        <v/>
      </c>
      <c r="D19" s="64" t="n">
        <v>1</v>
      </c>
      <c r="E19" s="66">
        <f>IF(B19&gt;0,$C$4*B19+(1-$C$4)*E18,E18)</f>
        <v/>
      </c>
      <c r="F19" s="66">
        <f>IF(B19&gt;0,$C$4*D19+(1-$C$4)*F18,F18)</f>
        <v/>
      </c>
      <c r="G19" s="66">
        <f>AVERAGE(B16:B18)</f>
        <v/>
      </c>
      <c r="H19" s="66">
        <f>(1-$C$4/2)*(E19/IF(F19=0,1,F19))</f>
        <v/>
      </c>
      <c r="I19" s="66">
        <f>ABS(H19-B19)</f>
        <v/>
      </c>
      <c r="J19" s="66">
        <f>J18+(H19-B19)</f>
        <v/>
      </c>
      <c r="K19" s="66">
        <f>AVERAGE($I$10:I19)</f>
        <v/>
      </c>
      <c r="L19" s="66">
        <f>IF(K19=0,0,J19/K19)</f>
        <v/>
      </c>
      <c r="M19" s="64">
        <f>IF(OR(L19&gt;4,L19&lt;-4),"INTERVENE","OK")</f>
        <v/>
      </c>
      <c r="N19" s="67" t="n">
        <v>1</v>
      </c>
      <c r="O19" s="67" t="n">
        <v>1</v>
      </c>
      <c r="P19" s="68">
        <f>H19*N19*O19</f>
        <v/>
      </c>
      <c r="Q19" s="64">
        <f>IF(O19&lt;&gt;1,"SBA+Causal","SBA Only")</f>
        <v/>
      </c>
    </row>
    <row r="20" ht="16" customHeight="1">
      <c r="A20" s="64" t="inlineStr">
        <is>
          <t>Nov-25</t>
        </is>
      </c>
      <c r="B20" s="65" t="n">
        <v>10</v>
      </c>
      <c r="C20" s="64">
        <f>IF(B20&gt;0,1,0)</f>
        <v/>
      </c>
      <c r="D20" s="64" t="n">
        <v>1</v>
      </c>
      <c r="E20" s="66">
        <f>IF(B20&gt;0,$C$4*B20+(1-$C$4)*E19,E19)</f>
        <v/>
      </c>
      <c r="F20" s="66">
        <f>IF(B20&gt;0,$C$4*D20+(1-$C$4)*F19,F19)</f>
        <v/>
      </c>
      <c r="G20" s="66">
        <f>AVERAGE(B17:B19)</f>
        <v/>
      </c>
      <c r="H20" s="66">
        <f>(1-$C$4/2)*(E20/IF(F20=0,1,F20))</f>
        <v/>
      </c>
      <c r="I20" s="66">
        <f>ABS(H20-B20)</f>
        <v/>
      </c>
      <c r="J20" s="66">
        <f>J19+(H20-B20)</f>
        <v/>
      </c>
      <c r="K20" s="66">
        <f>AVERAGE($I$10:I20)</f>
        <v/>
      </c>
      <c r="L20" s="66">
        <f>IF(K20=0,0,J20/K20)</f>
        <v/>
      </c>
      <c r="M20" s="64">
        <f>IF(OR(L20&gt;4,L20&lt;-4),"INTERVENE","OK")</f>
        <v/>
      </c>
      <c r="N20" s="67" t="n">
        <v>1</v>
      </c>
      <c r="O20" s="67" t="n">
        <v>1</v>
      </c>
      <c r="P20" s="68">
        <f>H20*N20*O20</f>
        <v/>
      </c>
      <c r="Q20" s="64">
        <f>IF(O20&lt;&gt;1,"SBA+Causal","SBA Only")</f>
        <v/>
      </c>
    </row>
    <row r="21" ht="16" customHeight="1">
      <c r="A21" s="64" t="inlineStr">
        <is>
          <t>Dec-25</t>
        </is>
      </c>
      <c r="B21" s="65" t="n">
        <v>11</v>
      </c>
      <c r="C21" s="64">
        <f>IF(B21&gt;0,1,0)</f>
        <v/>
      </c>
      <c r="D21" s="64" t="n">
        <v>1</v>
      </c>
      <c r="E21" s="66">
        <f>IF(B21&gt;0,$C$4*B21+(1-$C$4)*E20,E20)</f>
        <v/>
      </c>
      <c r="F21" s="66">
        <f>IF(B21&gt;0,$C$4*D21+(1-$C$4)*F20,F20)</f>
        <v/>
      </c>
      <c r="G21" s="66">
        <f>AVERAGE(B18:B20)</f>
        <v/>
      </c>
      <c r="H21" s="66">
        <f>(1-$C$4/2)*(E21/IF(F21=0,1,F21))</f>
        <v/>
      </c>
      <c r="I21" s="66">
        <f>ABS(H21-B21)</f>
        <v/>
      </c>
      <c r="J21" s="66">
        <f>J20+(H21-B21)</f>
        <v/>
      </c>
      <c r="K21" s="66">
        <f>AVERAGE($I$10:I21)</f>
        <v/>
      </c>
      <c r="L21" s="66">
        <f>IF(K21=0,0,J21/K21)</f>
        <v/>
      </c>
      <c r="M21" s="64">
        <f>IF(OR(L21&gt;4,L21&lt;-4),"INTERVENE","OK")</f>
        <v/>
      </c>
      <c r="N21" s="67" t="n">
        <v>1</v>
      </c>
      <c r="O21" s="67" t="n">
        <v>1</v>
      </c>
      <c r="P21" s="68">
        <f>H21*N21*O21</f>
        <v/>
      </c>
      <c r="Q21" s="64">
        <f>IF(O21&lt;&gt;1,"SBA+Causal","SBA Only")</f>
        <v/>
      </c>
    </row>
    <row r="23" ht="22" customHeight="1">
      <c r="A23" s="2" t="inlineStr">
        <is>
          <t>PART: FUSO-WPM-032 (Water Pump)</t>
        </is>
      </c>
      <c r="B23" s="3" t="n"/>
      <c r="C23" s="3" t="n"/>
      <c r="D23" s="3" t="n"/>
      <c r="E23" s="3" t="n"/>
      <c r="F23" s="3" t="n"/>
      <c r="G23" s="3" t="n"/>
      <c r="H23" s="3" t="n"/>
      <c r="I23" s="3" t="n"/>
      <c r="J23" s="3" t="n"/>
      <c r="K23" s="3" t="n"/>
      <c r="L23" s="3" t="n"/>
      <c r="M23" s="3" t="n"/>
      <c r="N23" s="3" t="n"/>
      <c r="O23" s="3" t="n"/>
      <c r="P23" s="3" t="n"/>
      <c r="Q23" s="4" t="n"/>
    </row>
    <row r="24" ht="30" customHeight="1">
      <c r="A24" s="63" t="inlineStr">
        <is>
          <t>Month</t>
        </is>
      </c>
      <c r="B24" s="63" t="inlineStr">
        <is>
          <t>Actual Demand</t>
        </is>
      </c>
      <c r="C24" s="63" t="inlineStr">
        <is>
          <t>Occurrence (1/0)</t>
        </is>
      </c>
      <c r="D24" s="63" t="inlineStr">
        <is>
          <t>Interval (p)</t>
        </is>
      </c>
      <c r="E24" s="63" t="inlineStr">
        <is>
          <t>Smoothed Size (ẑ)</t>
        </is>
      </c>
      <c r="F24" s="63" t="inlineStr">
        <is>
          <t>Smoothed Interval (p̂)</t>
        </is>
      </c>
      <c r="G24" s="63" t="inlineStr">
        <is>
          <t>SAP APO (3-MA)</t>
        </is>
      </c>
      <c r="H24" s="63" t="inlineStr">
        <is>
          <t>SBA Forecast</t>
        </is>
      </c>
      <c r="I24" s="63" t="inlineStr">
        <is>
          <t>MAE</t>
        </is>
      </c>
      <c r="J24" s="63" t="inlineStr">
        <is>
          <t>Cumul Fcst Error</t>
        </is>
      </c>
      <c r="K24" s="63" t="inlineStr">
        <is>
          <t>MAD</t>
        </is>
      </c>
      <c r="L24" s="63" t="inlineStr">
        <is>
          <t>Tracking Signal</t>
        </is>
      </c>
      <c r="M24" s="63" t="inlineStr">
        <is>
          <t>Alert</t>
        </is>
      </c>
      <c r="N24" s="63" t="inlineStr">
        <is>
          <t>Fleet Age Modifier</t>
        </is>
      </c>
      <c r="O24" s="63" t="inlineStr">
        <is>
          <t>DTC Modifier</t>
        </is>
      </c>
      <c r="P24" s="63" t="inlineStr">
        <is>
          <t>Final Adj Forecast</t>
        </is>
      </c>
      <c r="Q24" s="63" t="inlineStr">
        <is>
          <t>Forecast Source</t>
        </is>
      </c>
    </row>
    <row r="25" ht="16" customHeight="1">
      <c r="A25" s="64" t="inlineStr">
        <is>
          <t>Jan-25</t>
        </is>
      </c>
      <c r="B25" s="65" t="n">
        <v>0</v>
      </c>
      <c r="C25" s="64">
        <f>IF(B25&gt;0,1,0)</f>
        <v/>
      </c>
      <c r="D25" s="64" t="n">
        <v>1</v>
      </c>
      <c r="E25" s="66" t="n">
        <v>1</v>
      </c>
      <c r="F25" s="66" t="n">
        <v>1</v>
      </c>
      <c r="G25" s="66" t="n">
        <v>0</v>
      </c>
      <c r="H25" s="66">
        <f>(1-$C$4/2)*(E25/IF(F25=0,1,F25))</f>
        <v/>
      </c>
      <c r="I25" s="66">
        <f>ABS(H25-B25)</f>
        <v/>
      </c>
      <c r="J25" s="66">
        <f>H25-B25</f>
        <v/>
      </c>
      <c r="K25" s="66">
        <f>AVERAGE($I$25:I25)</f>
        <v/>
      </c>
      <c r="L25" s="66">
        <f>IF(K25=0,0,J25/K25)</f>
        <v/>
      </c>
      <c r="M25" s="64">
        <f>IF(OR(L25&gt;4,L25&lt;-4),"INTERVENE","OK")</f>
        <v/>
      </c>
      <c r="N25" s="67" t="n">
        <v>1</v>
      </c>
      <c r="O25" s="67" t="n">
        <v>1</v>
      </c>
      <c r="P25" s="68">
        <f>H25*N25*O25</f>
        <v/>
      </c>
      <c r="Q25" s="64">
        <f>IF(O25&lt;&gt;1,"SBA+Causal","SBA Only")</f>
        <v/>
      </c>
    </row>
    <row r="26" ht="16" customHeight="1">
      <c r="A26" s="64" t="inlineStr">
        <is>
          <t>Feb-25</t>
        </is>
      </c>
      <c r="B26" s="65" t="n">
        <v>0</v>
      </c>
      <c r="C26" s="64">
        <f>IF(B26&gt;0,1,0)</f>
        <v/>
      </c>
      <c r="D26" s="64" t="n">
        <v>2</v>
      </c>
      <c r="E26" s="66">
        <f>IF(B26&gt;0,$C$4*B26+(1-$C$4)*E25,E25)</f>
        <v/>
      </c>
      <c r="F26" s="66">
        <f>IF(B26&gt;0,$C$4*D26+(1-$C$4)*F25,F25)</f>
        <v/>
      </c>
      <c r="G26" s="66" t="n">
        <v>0</v>
      </c>
      <c r="H26" s="66">
        <f>(1-$C$4/2)*(E26/IF(F26=0,1,F26))</f>
        <v/>
      </c>
      <c r="I26" s="66">
        <f>ABS(H26-B26)</f>
        <v/>
      </c>
      <c r="J26" s="66">
        <f>J25+(H26-B26)</f>
        <v/>
      </c>
      <c r="K26" s="66">
        <f>AVERAGE($I$25:I26)</f>
        <v/>
      </c>
      <c r="L26" s="66">
        <f>IF(K26=0,0,J26/K26)</f>
        <v/>
      </c>
      <c r="M26" s="64">
        <f>IF(OR(L26&gt;4,L26&lt;-4),"INTERVENE","OK")</f>
        <v/>
      </c>
      <c r="N26" s="67" t="n">
        <v>1</v>
      </c>
      <c r="O26" s="67" t="n">
        <v>1</v>
      </c>
      <c r="P26" s="68">
        <f>H26*N26*O26</f>
        <v/>
      </c>
      <c r="Q26" s="64">
        <f>IF(O26&lt;&gt;1,"SBA+Causal","SBA Only")</f>
        <v/>
      </c>
    </row>
    <row r="27" ht="16" customHeight="1">
      <c r="A27" s="64" t="inlineStr">
        <is>
          <t>Mar-25</t>
        </is>
      </c>
      <c r="B27" s="65" t="n">
        <v>0</v>
      </c>
      <c r="C27" s="64">
        <f>IF(B27&gt;0,1,0)</f>
        <v/>
      </c>
      <c r="D27" s="64" t="n">
        <v>3</v>
      </c>
      <c r="E27" s="66">
        <f>IF(B27&gt;0,$C$4*B27+(1-$C$4)*E26,E26)</f>
        <v/>
      </c>
      <c r="F27" s="66">
        <f>IF(B27&gt;0,$C$4*D27+(1-$C$4)*F26,F26)</f>
        <v/>
      </c>
      <c r="G27" s="66" t="n">
        <v>0</v>
      </c>
      <c r="H27" s="66">
        <f>(1-$C$4/2)*(E27/IF(F27=0,1,F27))</f>
        <v/>
      </c>
      <c r="I27" s="66">
        <f>ABS(H27-B27)</f>
        <v/>
      </c>
      <c r="J27" s="66">
        <f>J26+(H27-B27)</f>
        <v/>
      </c>
      <c r="K27" s="66">
        <f>AVERAGE($I$25:I27)</f>
        <v/>
      </c>
      <c r="L27" s="66">
        <f>IF(K27=0,0,J27/K27)</f>
        <v/>
      </c>
      <c r="M27" s="64">
        <f>IF(OR(L27&gt;4,L27&lt;-4),"INTERVENE","OK")</f>
        <v/>
      </c>
      <c r="N27" s="67" t="n">
        <v>1</v>
      </c>
      <c r="O27" s="67" t="n">
        <v>1</v>
      </c>
      <c r="P27" s="68">
        <f>H27*N27*O27</f>
        <v/>
      </c>
      <c r="Q27" s="64">
        <f>IF(O27&lt;&gt;1,"SBA+Causal","SBA Only")</f>
        <v/>
      </c>
    </row>
    <row r="28" ht="16" customHeight="1">
      <c r="A28" s="64" t="inlineStr">
        <is>
          <t>Apr-25</t>
        </is>
      </c>
      <c r="B28" s="65" t="n">
        <v>40</v>
      </c>
      <c r="C28" s="64">
        <f>IF(B28&gt;0,1,0)</f>
        <v/>
      </c>
      <c r="D28" s="64" t="n">
        <v>1</v>
      </c>
      <c r="E28" s="66">
        <f>IF(B28&gt;0,$C$4*B28+(1-$C$4)*E27,E27)</f>
        <v/>
      </c>
      <c r="F28" s="66">
        <f>IF(B28&gt;0,$C$4*D28+(1-$C$4)*F27,F27)</f>
        <v/>
      </c>
      <c r="G28" s="66">
        <f>AVERAGE(B25:B27)</f>
        <v/>
      </c>
      <c r="H28" s="66">
        <f>(1-$C$4/2)*(E28/IF(F28=0,1,F28))</f>
        <v/>
      </c>
      <c r="I28" s="66">
        <f>ABS(H28-B28)</f>
        <v/>
      </c>
      <c r="J28" s="66">
        <f>J27+(H28-B28)</f>
        <v/>
      </c>
      <c r="K28" s="66">
        <f>AVERAGE($I$25:I28)</f>
        <v/>
      </c>
      <c r="L28" s="66">
        <f>IF(K28=0,0,J28/K28)</f>
        <v/>
      </c>
      <c r="M28" s="64">
        <f>IF(OR(L28&gt;4,L28&lt;-4),"INTERVENE","OK")</f>
        <v/>
      </c>
      <c r="N28" s="67" t="n">
        <v>1</v>
      </c>
      <c r="O28" s="67" t="n">
        <v>1</v>
      </c>
      <c r="P28" s="68">
        <f>H28*N28*O28</f>
        <v/>
      </c>
      <c r="Q28" s="64">
        <f>IF(O28&lt;&gt;1,"SBA+Causal","SBA Only")</f>
        <v/>
      </c>
    </row>
    <row r="29" ht="16" customHeight="1">
      <c r="A29" s="64" t="inlineStr">
        <is>
          <t>May-25</t>
        </is>
      </c>
      <c r="B29" s="65" t="n">
        <v>0</v>
      </c>
      <c r="C29" s="64">
        <f>IF(B29&gt;0,1,0)</f>
        <v/>
      </c>
      <c r="D29" s="64" t="n">
        <v>2</v>
      </c>
      <c r="E29" s="66">
        <f>IF(B29&gt;0,$C$4*B29+(1-$C$4)*E28,E28)</f>
        <v/>
      </c>
      <c r="F29" s="66">
        <f>IF(B29&gt;0,$C$4*D29+(1-$C$4)*F28,F28)</f>
        <v/>
      </c>
      <c r="G29" s="66">
        <f>AVERAGE(B26:B28)</f>
        <v/>
      </c>
      <c r="H29" s="66">
        <f>(1-$C$4/2)*(E29/IF(F29=0,1,F29))</f>
        <v/>
      </c>
      <c r="I29" s="66">
        <f>ABS(H29-B29)</f>
        <v/>
      </c>
      <c r="J29" s="66">
        <f>J28+(H29-B29)</f>
        <v/>
      </c>
      <c r="K29" s="66">
        <f>AVERAGE($I$25:I29)</f>
        <v/>
      </c>
      <c r="L29" s="66">
        <f>IF(K29=0,0,J29/K29)</f>
        <v/>
      </c>
      <c r="M29" s="64">
        <f>IF(OR(L29&gt;4,L29&lt;-4),"INTERVENE","OK")</f>
        <v/>
      </c>
      <c r="N29" s="67" t="n">
        <v>1</v>
      </c>
      <c r="O29" s="67" t="n">
        <v>1</v>
      </c>
      <c r="P29" s="68">
        <f>H29*N29*O29</f>
        <v/>
      </c>
      <c r="Q29" s="64">
        <f>IF(O29&lt;&gt;1,"SBA+Causal","SBA Only")</f>
        <v/>
      </c>
    </row>
    <row r="30" ht="16" customHeight="1">
      <c r="A30" s="64" t="inlineStr">
        <is>
          <t>Jun-25</t>
        </is>
      </c>
      <c r="B30" s="65" t="n">
        <v>0</v>
      </c>
      <c r="C30" s="64">
        <f>IF(B30&gt;0,1,0)</f>
        <v/>
      </c>
      <c r="D30" s="64" t="n">
        <v>3</v>
      </c>
      <c r="E30" s="66">
        <f>IF(B30&gt;0,$C$4*B30+(1-$C$4)*E29,E29)</f>
        <v/>
      </c>
      <c r="F30" s="66">
        <f>IF(B30&gt;0,$C$4*D30+(1-$C$4)*F29,F29)</f>
        <v/>
      </c>
      <c r="G30" s="66">
        <f>AVERAGE(B27:B29)</f>
        <v/>
      </c>
      <c r="H30" s="66">
        <f>(1-$C$4/2)*(E30/IF(F30=0,1,F30))</f>
        <v/>
      </c>
      <c r="I30" s="66">
        <f>ABS(H30-B30)</f>
        <v/>
      </c>
      <c r="J30" s="66">
        <f>J29+(H30-B30)</f>
        <v/>
      </c>
      <c r="K30" s="66">
        <f>AVERAGE($I$25:I30)</f>
        <v/>
      </c>
      <c r="L30" s="66">
        <f>IF(K30=0,0,J30/K30)</f>
        <v/>
      </c>
      <c r="M30" s="64">
        <f>IF(OR(L30&gt;4,L30&lt;-4),"INTERVENE","OK")</f>
        <v/>
      </c>
      <c r="N30" s="67" t="n">
        <v>1</v>
      </c>
      <c r="O30" s="67" t="n">
        <v>1</v>
      </c>
      <c r="P30" s="68">
        <f>H30*N30*O30</f>
        <v/>
      </c>
      <c r="Q30" s="64">
        <f>IF(O30&lt;&gt;1,"SBA+Causal","SBA Only")</f>
        <v/>
      </c>
    </row>
    <row r="31" ht="16" customHeight="1">
      <c r="A31" s="64" t="inlineStr">
        <is>
          <t>Jul-25</t>
        </is>
      </c>
      <c r="B31" s="65" t="n">
        <v>0</v>
      </c>
      <c r="C31" s="64">
        <f>IF(B31&gt;0,1,0)</f>
        <v/>
      </c>
      <c r="D31" s="64" t="n">
        <v>4</v>
      </c>
      <c r="E31" s="66">
        <f>IF(B31&gt;0,$C$4*B31+(1-$C$4)*E30,E30)</f>
        <v/>
      </c>
      <c r="F31" s="66">
        <f>IF(B31&gt;0,$C$4*D31+(1-$C$4)*F30,F30)</f>
        <v/>
      </c>
      <c r="G31" s="66">
        <f>AVERAGE(B28:B30)</f>
        <v/>
      </c>
      <c r="H31" s="66">
        <f>(1-$C$4/2)*(E31/IF(F31=0,1,F31))</f>
        <v/>
      </c>
      <c r="I31" s="66">
        <f>ABS(H31-B31)</f>
        <v/>
      </c>
      <c r="J31" s="66">
        <f>J30+(H31-B31)</f>
        <v/>
      </c>
      <c r="K31" s="66">
        <f>AVERAGE($I$25:I31)</f>
        <v/>
      </c>
      <c r="L31" s="66">
        <f>IF(K31=0,0,J31/K31)</f>
        <v/>
      </c>
      <c r="M31" s="64">
        <f>IF(OR(L31&gt;4,L31&lt;-4),"INTERVENE","OK")</f>
        <v/>
      </c>
      <c r="N31" s="67" t="n">
        <v>1</v>
      </c>
      <c r="O31" s="67" t="n">
        <v>1</v>
      </c>
      <c r="P31" s="68">
        <f>H31*N31*O31</f>
        <v/>
      </c>
      <c r="Q31" s="64">
        <f>IF(O31&lt;&gt;1,"SBA+Causal","SBA Only")</f>
        <v/>
      </c>
    </row>
    <row r="32" ht="16" customHeight="1">
      <c r="A32" s="64" t="inlineStr">
        <is>
          <t>Aug-25</t>
        </is>
      </c>
      <c r="B32" s="65" t="n">
        <v>38</v>
      </c>
      <c r="C32" s="64">
        <f>IF(B32&gt;0,1,0)</f>
        <v/>
      </c>
      <c r="D32" s="64" t="n">
        <v>1</v>
      </c>
      <c r="E32" s="66">
        <f>IF(B32&gt;0,$C$4*B32+(1-$C$4)*E31,E31)</f>
        <v/>
      </c>
      <c r="F32" s="66">
        <f>IF(B32&gt;0,$C$4*D32+(1-$C$4)*F31,F31)</f>
        <v/>
      </c>
      <c r="G32" s="66">
        <f>AVERAGE(B29:B31)</f>
        <v/>
      </c>
      <c r="H32" s="66">
        <f>(1-$C$4/2)*(E32/IF(F32=0,1,F32))</f>
        <v/>
      </c>
      <c r="I32" s="66">
        <f>ABS(H32-B32)</f>
        <v/>
      </c>
      <c r="J32" s="66">
        <f>J31+(H32-B32)</f>
        <v/>
      </c>
      <c r="K32" s="66">
        <f>AVERAGE($I$25:I32)</f>
        <v/>
      </c>
      <c r="L32" s="66">
        <f>IF(K32=0,0,J32/K32)</f>
        <v/>
      </c>
      <c r="M32" s="64">
        <f>IF(OR(L32&gt;4,L32&lt;-4),"INTERVENE","OK")</f>
        <v/>
      </c>
      <c r="N32" s="67" t="n">
        <v>1</v>
      </c>
      <c r="O32" s="67" t="n">
        <v>1</v>
      </c>
      <c r="P32" s="68">
        <f>H32*N32*O32</f>
        <v/>
      </c>
      <c r="Q32" s="64">
        <f>IF(O32&lt;&gt;1,"SBA+Causal","SBA Only")</f>
        <v/>
      </c>
    </row>
    <row r="33" ht="16" customHeight="1">
      <c r="A33" s="64" t="inlineStr">
        <is>
          <t>Sep-25</t>
        </is>
      </c>
      <c r="B33" s="65" t="n">
        <v>0</v>
      </c>
      <c r="C33" s="64">
        <f>IF(B33&gt;0,1,0)</f>
        <v/>
      </c>
      <c r="D33" s="64" t="n">
        <v>2</v>
      </c>
      <c r="E33" s="66">
        <f>IF(B33&gt;0,$C$4*B33+(1-$C$4)*E32,E32)</f>
        <v/>
      </c>
      <c r="F33" s="66">
        <f>IF(B33&gt;0,$C$4*D33+(1-$C$4)*F32,F32)</f>
        <v/>
      </c>
      <c r="G33" s="66">
        <f>AVERAGE(B30:B32)</f>
        <v/>
      </c>
      <c r="H33" s="66">
        <f>(1-$C$4/2)*(E33/IF(F33=0,1,F33))</f>
        <v/>
      </c>
      <c r="I33" s="66">
        <f>ABS(H33-B33)</f>
        <v/>
      </c>
      <c r="J33" s="66">
        <f>J32+(H33-B33)</f>
        <v/>
      </c>
      <c r="K33" s="66">
        <f>AVERAGE($I$25:I33)</f>
        <v/>
      </c>
      <c r="L33" s="66">
        <f>IF(K33=0,0,J33/K33)</f>
        <v/>
      </c>
      <c r="M33" s="64">
        <f>IF(OR(L33&gt;4,L33&lt;-4),"INTERVENE","OK")</f>
        <v/>
      </c>
      <c r="N33" s="67" t="n">
        <v>1</v>
      </c>
      <c r="O33" s="67" t="n">
        <v>1</v>
      </c>
      <c r="P33" s="68">
        <f>H33*N33*O33</f>
        <v/>
      </c>
      <c r="Q33" s="64">
        <f>IF(O33&lt;&gt;1,"SBA+Causal","SBA Only")</f>
        <v/>
      </c>
    </row>
    <row r="34" ht="16" customHeight="1">
      <c r="A34" s="64" t="inlineStr">
        <is>
          <t>Oct-25</t>
        </is>
      </c>
      <c r="B34" s="65" t="n">
        <v>0</v>
      </c>
      <c r="C34" s="64">
        <f>IF(B34&gt;0,1,0)</f>
        <v/>
      </c>
      <c r="D34" s="64" t="n">
        <v>3</v>
      </c>
      <c r="E34" s="66">
        <f>IF(B34&gt;0,$C$4*B34+(1-$C$4)*E33,E33)</f>
        <v/>
      </c>
      <c r="F34" s="66">
        <f>IF(B34&gt;0,$C$4*D34+(1-$C$4)*F33,F33)</f>
        <v/>
      </c>
      <c r="G34" s="66">
        <f>AVERAGE(B31:B33)</f>
        <v/>
      </c>
      <c r="H34" s="66">
        <f>(1-$C$4/2)*(E34/IF(F34=0,1,F34))</f>
        <v/>
      </c>
      <c r="I34" s="66">
        <f>ABS(H34-B34)</f>
        <v/>
      </c>
      <c r="J34" s="66">
        <f>J33+(H34-B34)</f>
        <v/>
      </c>
      <c r="K34" s="66">
        <f>AVERAGE($I$25:I34)</f>
        <v/>
      </c>
      <c r="L34" s="66">
        <f>IF(K34=0,0,J34/K34)</f>
        <v/>
      </c>
      <c r="M34" s="64">
        <f>IF(OR(L34&gt;4,L34&lt;-4),"INTERVENE","OK")</f>
        <v/>
      </c>
      <c r="N34" s="67" t="n">
        <v>1</v>
      </c>
      <c r="O34" s="67" t="n">
        <v>1</v>
      </c>
      <c r="P34" s="68">
        <f>H34*N34*O34</f>
        <v/>
      </c>
      <c r="Q34" s="64">
        <f>IF(O34&lt;&gt;1,"SBA+Causal","SBA Only")</f>
        <v/>
      </c>
    </row>
    <row r="35" ht="16" customHeight="1">
      <c r="A35" s="64" t="inlineStr">
        <is>
          <t>Nov-25</t>
        </is>
      </c>
      <c r="B35" s="65" t="n">
        <v>0</v>
      </c>
      <c r="C35" s="64">
        <f>IF(B35&gt;0,1,0)</f>
        <v/>
      </c>
      <c r="D35" s="64" t="n">
        <v>4</v>
      </c>
      <c r="E35" s="66">
        <f>IF(B35&gt;0,$C$4*B35+(1-$C$4)*E34,E34)</f>
        <v/>
      </c>
      <c r="F35" s="66">
        <f>IF(B35&gt;0,$C$4*D35+(1-$C$4)*F34,F34)</f>
        <v/>
      </c>
      <c r="G35" s="66">
        <f>AVERAGE(B32:B34)</f>
        <v/>
      </c>
      <c r="H35" s="66">
        <f>(1-$C$4/2)*(E35/IF(F35=0,1,F35))</f>
        <v/>
      </c>
      <c r="I35" s="66">
        <f>ABS(H35-B35)</f>
        <v/>
      </c>
      <c r="J35" s="66">
        <f>J34+(H35-B35)</f>
        <v/>
      </c>
      <c r="K35" s="66">
        <f>AVERAGE($I$25:I35)</f>
        <v/>
      </c>
      <c r="L35" s="66">
        <f>IF(K35=0,0,J35/K35)</f>
        <v/>
      </c>
      <c r="M35" s="64">
        <f>IF(OR(L35&gt;4,L35&lt;-4),"INTERVENE","OK")</f>
        <v/>
      </c>
      <c r="N35" s="67" t="n">
        <v>1</v>
      </c>
      <c r="O35" s="67" t="n">
        <v>1</v>
      </c>
      <c r="P35" s="68">
        <f>H35*N35*O35</f>
        <v/>
      </c>
      <c r="Q35" s="64">
        <f>IF(O35&lt;&gt;1,"SBA+Causal","SBA Only")</f>
        <v/>
      </c>
    </row>
    <row r="36" ht="16" customHeight="1">
      <c r="A36" s="64" t="inlineStr">
        <is>
          <t>Dec-25</t>
        </is>
      </c>
      <c r="B36" s="65" t="n">
        <v>42</v>
      </c>
      <c r="C36" s="64">
        <f>IF(B36&gt;0,1,0)</f>
        <v/>
      </c>
      <c r="D36" s="64" t="n">
        <v>1</v>
      </c>
      <c r="E36" s="66">
        <f>IF(B36&gt;0,$C$4*B36+(1-$C$4)*E35,E35)</f>
        <v/>
      </c>
      <c r="F36" s="66">
        <f>IF(B36&gt;0,$C$4*D36+(1-$C$4)*F35,F35)</f>
        <v/>
      </c>
      <c r="G36" s="66">
        <f>AVERAGE(B33:B35)</f>
        <v/>
      </c>
      <c r="H36" s="66">
        <f>(1-$C$4/2)*(E36/IF(F36=0,1,F36))</f>
        <v/>
      </c>
      <c r="I36" s="66">
        <f>ABS(H36-B36)</f>
        <v/>
      </c>
      <c r="J36" s="66">
        <f>J35+(H36-B36)</f>
        <v/>
      </c>
      <c r="K36" s="66">
        <f>AVERAGE($I$25:I36)</f>
        <v/>
      </c>
      <c r="L36" s="66">
        <f>IF(K36=0,0,J36/K36)</f>
        <v/>
      </c>
      <c r="M36" s="64">
        <f>IF(OR(L36&gt;4,L36&lt;-4),"INTERVENE","OK")</f>
        <v/>
      </c>
      <c r="N36" s="67" t="n">
        <v>1</v>
      </c>
      <c r="O36" s="67" t="n">
        <v>1</v>
      </c>
      <c r="P36" s="68">
        <f>H36*N36*O36</f>
        <v/>
      </c>
      <c r="Q36" s="64">
        <f>IF(O36&lt;&gt;1,"SBA+Causal","SBA Only")</f>
        <v/>
      </c>
    </row>
    <row r="38" ht="22" customHeight="1">
      <c r="A38" s="2" t="inlineStr">
        <is>
          <t>PART: FUSO-TRB-009 (Turbocharger)</t>
        </is>
      </c>
      <c r="B38" s="3" t="n"/>
      <c r="C38" s="3" t="n"/>
      <c r="D38" s="3" t="n"/>
      <c r="E38" s="3" t="n"/>
      <c r="F38" s="3" t="n"/>
      <c r="G38" s="3" t="n"/>
      <c r="H38" s="3" t="n"/>
      <c r="I38" s="3" t="n"/>
      <c r="J38" s="3" t="n"/>
      <c r="K38" s="3" t="n"/>
      <c r="L38" s="3" t="n"/>
      <c r="M38" s="3" t="n"/>
      <c r="N38" s="3" t="n"/>
      <c r="O38" s="3" t="n"/>
      <c r="P38" s="3" t="n"/>
      <c r="Q38" s="4" t="n"/>
    </row>
    <row r="39" ht="30" customHeight="1">
      <c r="A39" s="63" t="inlineStr">
        <is>
          <t>Month</t>
        </is>
      </c>
      <c r="B39" s="63" t="inlineStr">
        <is>
          <t>Actual Demand</t>
        </is>
      </c>
      <c r="C39" s="63" t="inlineStr">
        <is>
          <t>Occurrence (1/0)</t>
        </is>
      </c>
      <c r="D39" s="63" t="inlineStr">
        <is>
          <t>Interval (p)</t>
        </is>
      </c>
      <c r="E39" s="63" t="inlineStr">
        <is>
          <t>Smoothed Size (ẑ)</t>
        </is>
      </c>
      <c r="F39" s="63" t="inlineStr">
        <is>
          <t>Smoothed Interval (p̂)</t>
        </is>
      </c>
      <c r="G39" s="63" t="inlineStr">
        <is>
          <t>SAP APO (3-MA)</t>
        </is>
      </c>
      <c r="H39" s="63" t="inlineStr">
        <is>
          <t>SBA Forecast</t>
        </is>
      </c>
      <c r="I39" s="63" t="inlineStr">
        <is>
          <t>MAE</t>
        </is>
      </c>
      <c r="J39" s="63" t="inlineStr">
        <is>
          <t>Cumul Fcst Error</t>
        </is>
      </c>
      <c r="K39" s="63" t="inlineStr">
        <is>
          <t>MAD</t>
        </is>
      </c>
      <c r="L39" s="63" t="inlineStr">
        <is>
          <t>Tracking Signal</t>
        </is>
      </c>
      <c r="M39" s="63" t="inlineStr">
        <is>
          <t>Alert</t>
        </is>
      </c>
      <c r="N39" s="63" t="inlineStr">
        <is>
          <t>Fleet Age Modifier</t>
        </is>
      </c>
      <c r="O39" s="63" t="inlineStr">
        <is>
          <t>DTC Modifier</t>
        </is>
      </c>
      <c r="P39" s="63" t="inlineStr">
        <is>
          <t>Final Adj Forecast</t>
        </is>
      </c>
      <c r="Q39" s="63" t="inlineStr">
        <is>
          <t>Forecast Source</t>
        </is>
      </c>
    </row>
    <row r="40" ht="16" customHeight="1">
      <c r="A40" s="64" t="inlineStr">
        <is>
          <t>Jan-25</t>
        </is>
      </c>
      <c r="B40" s="65" t="n">
        <v>0</v>
      </c>
      <c r="C40" s="64">
        <f>IF(B40&gt;0,1,0)</f>
        <v/>
      </c>
      <c r="D40" s="64" t="n">
        <v>1</v>
      </c>
      <c r="E40" s="66" t="n">
        <v>1</v>
      </c>
      <c r="F40" s="66" t="n">
        <v>1</v>
      </c>
      <c r="G40" s="66" t="n">
        <v>0</v>
      </c>
      <c r="H40" s="66">
        <f>(1-$C$4/2)*(E40/IF(F40=0,1,F40))</f>
        <v/>
      </c>
      <c r="I40" s="66">
        <f>ABS(H40-B40)</f>
        <v/>
      </c>
      <c r="J40" s="66">
        <f>H40-B40</f>
        <v/>
      </c>
      <c r="K40" s="66">
        <f>AVERAGE($I$40:I40)</f>
        <v/>
      </c>
      <c r="L40" s="66">
        <f>IF(K40=0,0,J40/K40)</f>
        <v/>
      </c>
      <c r="M40" s="64">
        <f>IF(OR(L40&gt;4,L40&lt;-4),"INTERVENE","OK")</f>
        <v/>
      </c>
      <c r="N40" s="67" t="n">
        <v>1</v>
      </c>
      <c r="O40" s="67" t="n">
        <v>1</v>
      </c>
      <c r="P40" s="68">
        <f>H40*N40*O40</f>
        <v/>
      </c>
      <c r="Q40" s="64">
        <f>IF(O40&lt;&gt;1,"SBA+Causal","SBA Only")</f>
        <v/>
      </c>
    </row>
    <row r="41" ht="16" customHeight="1">
      <c r="A41" s="64" t="inlineStr">
        <is>
          <t>Feb-25</t>
        </is>
      </c>
      <c r="B41" s="65" t="n">
        <v>0</v>
      </c>
      <c r="C41" s="64">
        <f>IF(B41&gt;0,1,0)</f>
        <v/>
      </c>
      <c r="D41" s="64" t="n">
        <v>2</v>
      </c>
      <c r="E41" s="66">
        <f>IF(B41&gt;0,$C$4*B41+(1-$C$4)*E40,E40)</f>
        <v/>
      </c>
      <c r="F41" s="66">
        <f>IF(B41&gt;0,$C$4*D41+(1-$C$4)*F40,F40)</f>
        <v/>
      </c>
      <c r="G41" s="66" t="n">
        <v>0</v>
      </c>
      <c r="H41" s="66">
        <f>(1-$C$4/2)*(E41/IF(F41=0,1,F41))</f>
        <v/>
      </c>
      <c r="I41" s="66">
        <f>ABS(H41-B41)</f>
        <v/>
      </c>
      <c r="J41" s="66">
        <f>J40+(H41-B41)</f>
        <v/>
      </c>
      <c r="K41" s="66">
        <f>AVERAGE($I$40:I41)</f>
        <v/>
      </c>
      <c r="L41" s="66">
        <f>IF(K41=0,0,J41/K41)</f>
        <v/>
      </c>
      <c r="M41" s="64">
        <f>IF(OR(L41&gt;4,L41&lt;-4),"INTERVENE","OK")</f>
        <v/>
      </c>
      <c r="N41" s="67" t="n">
        <v>1</v>
      </c>
      <c r="O41" s="67" t="n">
        <v>1</v>
      </c>
      <c r="P41" s="68">
        <f>H41*N41*O41</f>
        <v/>
      </c>
      <c r="Q41" s="64">
        <f>IF(O41&lt;&gt;1,"SBA+Causal","SBA Only")</f>
        <v/>
      </c>
    </row>
    <row r="42" ht="16" customHeight="1">
      <c r="A42" s="64" t="inlineStr">
        <is>
          <t>Mar-25</t>
        </is>
      </c>
      <c r="B42" s="65" t="n">
        <v>0</v>
      </c>
      <c r="C42" s="64">
        <f>IF(B42&gt;0,1,0)</f>
        <v/>
      </c>
      <c r="D42" s="64" t="n">
        <v>3</v>
      </c>
      <c r="E42" s="66">
        <f>IF(B42&gt;0,$C$4*B42+(1-$C$4)*E41,E41)</f>
        <v/>
      </c>
      <c r="F42" s="66">
        <f>IF(B42&gt;0,$C$4*D42+(1-$C$4)*F41,F41)</f>
        <v/>
      </c>
      <c r="G42" s="66" t="n">
        <v>0</v>
      </c>
      <c r="H42" s="66">
        <f>(1-$C$4/2)*(E42/IF(F42=0,1,F42))</f>
        <v/>
      </c>
      <c r="I42" s="66">
        <f>ABS(H42-B42)</f>
        <v/>
      </c>
      <c r="J42" s="66">
        <f>J41+(H42-B42)</f>
        <v/>
      </c>
      <c r="K42" s="66">
        <f>AVERAGE($I$40:I42)</f>
        <v/>
      </c>
      <c r="L42" s="66">
        <f>IF(K42=0,0,J42/K42)</f>
        <v/>
      </c>
      <c r="M42" s="64">
        <f>IF(OR(L42&gt;4,L42&lt;-4),"INTERVENE","OK")</f>
        <v/>
      </c>
      <c r="N42" s="67" t="n">
        <v>1</v>
      </c>
      <c r="O42" s="67" t="n">
        <v>1</v>
      </c>
      <c r="P42" s="68">
        <f>H42*N42*O42</f>
        <v/>
      </c>
      <c r="Q42" s="64">
        <f>IF(O42&lt;&gt;1,"SBA+Causal","SBA Only")</f>
        <v/>
      </c>
    </row>
    <row r="43" ht="16" customHeight="1">
      <c r="A43" s="64" t="inlineStr">
        <is>
          <t>Apr-25</t>
        </is>
      </c>
      <c r="B43" s="65" t="n">
        <v>0</v>
      </c>
      <c r="C43" s="64">
        <f>IF(B43&gt;0,1,0)</f>
        <v/>
      </c>
      <c r="D43" s="64" t="n">
        <v>4</v>
      </c>
      <c r="E43" s="66">
        <f>IF(B43&gt;0,$C$4*B43+(1-$C$4)*E42,E42)</f>
        <v/>
      </c>
      <c r="F43" s="66">
        <f>IF(B43&gt;0,$C$4*D43+(1-$C$4)*F42,F42)</f>
        <v/>
      </c>
      <c r="G43" s="66">
        <f>AVERAGE(B40:B42)</f>
        <v/>
      </c>
      <c r="H43" s="66">
        <f>(1-$C$4/2)*(E43/IF(F43=0,1,F43))</f>
        <v/>
      </c>
      <c r="I43" s="66">
        <f>ABS(H43-B43)</f>
        <v/>
      </c>
      <c r="J43" s="66">
        <f>J42+(H43-B43)</f>
        <v/>
      </c>
      <c r="K43" s="66">
        <f>AVERAGE($I$40:I43)</f>
        <v/>
      </c>
      <c r="L43" s="66">
        <f>IF(K43=0,0,J43/K43)</f>
        <v/>
      </c>
      <c r="M43" s="64">
        <f>IF(OR(L43&gt;4,L43&lt;-4),"INTERVENE","OK")</f>
        <v/>
      </c>
      <c r="N43" s="67" t="n">
        <v>1</v>
      </c>
      <c r="O43" s="67" t="n">
        <v>1</v>
      </c>
      <c r="P43" s="68">
        <f>H43*N43*O43</f>
        <v/>
      </c>
      <c r="Q43" s="64">
        <f>IF(O43&lt;&gt;1,"SBA+Causal","SBA Only")</f>
        <v/>
      </c>
    </row>
    <row r="44" ht="16" customHeight="1">
      <c r="A44" s="64" t="inlineStr">
        <is>
          <t>May-25</t>
        </is>
      </c>
      <c r="B44" s="65" t="n">
        <v>5</v>
      </c>
      <c r="C44" s="64">
        <f>IF(B44&gt;0,1,0)</f>
        <v/>
      </c>
      <c r="D44" s="64" t="n">
        <v>1</v>
      </c>
      <c r="E44" s="66">
        <f>IF(B44&gt;0,$C$4*B44+(1-$C$4)*E43,E43)</f>
        <v/>
      </c>
      <c r="F44" s="66">
        <f>IF(B44&gt;0,$C$4*D44+(1-$C$4)*F43,F43)</f>
        <v/>
      </c>
      <c r="G44" s="66">
        <f>AVERAGE(B41:B43)</f>
        <v/>
      </c>
      <c r="H44" s="66">
        <f>(1-$C$4/2)*(E44/IF(F44=0,1,F44))</f>
        <v/>
      </c>
      <c r="I44" s="66">
        <f>ABS(H44-B44)</f>
        <v/>
      </c>
      <c r="J44" s="66">
        <f>J43+(H44-B44)</f>
        <v/>
      </c>
      <c r="K44" s="66">
        <f>AVERAGE($I$40:I44)</f>
        <v/>
      </c>
      <c r="L44" s="66">
        <f>IF(K44=0,0,J44/K44)</f>
        <v/>
      </c>
      <c r="M44" s="64">
        <f>IF(OR(L44&gt;4,L44&lt;-4),"INTERVENE","OK")</f>
        <v/>
      </c>
      <c r="N44" s="67" t="n">
        <v>1</v>
      </c>
      <c r="O44" s="67" t="n">
        <v>1</v>
      </c>
      <c r="P44" s="68">
        <f>H44*N44*O44</f>
        <v/>
      </c>
      <c r="Q44" s="64">
        <f>IF(O44&lt;&gt;1,"SBA+Causal","SBA Only")</f>
        <v/>
      </c>
    </row>
    <row r="45" ht="16" customHeight="1">
      <c r="A45" s="64" t="inlineStr">
        <is>
          <t>Jun-25</t>
        </is>
      </c>
      <c r="B45" s="65" t="n">
        <v>0</v>
      </c>
      <c r="C45" s="64">
        <f>IF(B45&gt;0,1,0)</f>
        <v/>
      </c>
      <c r="D45" s="64" t="n">
        <v>2</v>
      </c>
      <c r="E45" s="66">
        <f>IF(B45&gt;0,$C$4*B45+(1-$C$4)*E44,E44)</f>
        <v/>
      </c>
      <c r="F45" s="66">
        <f>IF(B45&gt;0,$C$4*D45+(1-$C$4)*F44,F44)</f>
        <v/>
      </c>
      <c r="G45" s="66">
        <f>AVERAGE(B42:B44)</f>
        <v/>
      </c>
      <c r="H45" s="66">
        <f>(1-$C$4/2)*(E45/IF(F45=0,1,F45))</f>
        <v/>
      </c>
      <c r="I45" s="66">
        <f>ABS(H45-B45)</f>
        <v/>
      </c>
      <c r="J45" s="66">
        <f>J44+(H45-B45)</f>
        <v/>
      </c>
      <c r="K45" s="66">
        <f>AVERAGE($I$40:I45)</f>
        <v/>
      </c>
      <c r="L45" s="66">
        <f>IF(K45=0,0,J45/K45)</f>
        <v/>
      </c>
      <c r="M45" s="64">
        <f>IF(OR(L45&gt;4,L45&lt;-4),"INTERVENE","OK")</f>
        <v/>
      </c>
      <c r="N45" s="67" t="n">
        <v>1</v>
      </c>
      <c r="O45" s="67" t="n">
        <v>1</v>
      </c>
      <c r="P45" s="68">
        <f>H45*N45*O45</f>
        <v/>
      </c>
      <c r="Q45" s="64">
        <f>IF(O45&lt;&gt;1,"SBA+Causal","SBA Only")</f>
        <v/>
      </c>
    </row>
    <row r="46" ht="16" customHeight="1">
      <c r="A46" s="64" t="inlineStr">
        <is>
          <t>Jul-25</t>
        </is>
      </c>
      <c r="B46" s="65" t="n">
        <v>0</v>
      </c>
      <c r="C46" s="64">
        <f>IF(B46&gt;0,1,0)</f>
        <v/>
      </c>
      <c r="D46" s="64" t="n">
        <v>3</v>
      </c>
      <c r="E46" s="66">
        <f>IF(B46&gt;0,$C$4*B46+(1-$C$4)*E45,E45)</f>
        <v/>
      </c>
      <c r="F46" s="66">
        <f>IF(B46&gt;0,$C$4*D46+(1-$C$4)*F45,F45)</f>
        <v/>
      </c>
      <c r="G46" s="66">
        <f>AVERAGE(B43:B45)</f>
        <v/>
      </c>
      <c r="H46" s="66">
        <f>(1-$C$4/2)*(E46/IF(F46=0,1,F46))</f>
        <v/>
      </c>
      <c r="I46" s="66">
        <f>ABS(H46-B46)</f>
        <v/>
      </c>
      <c r="J46" s="66">
        <f>J45+(H46-B46)</f>
        <v/>
      </c>
      <c r="K46" s="66">
        <f>AVERAGE($I$40:I46)</f>
        <v/>
      </c>
      <c r="L46" s="66">
        <f>IF(K46=0,0,J46/K46)</f>
        <v/>
      </c>
      <c r="M46" s="64">
        <f>IF(OR(L46&gt;4,L46&lt;-4),"INTERVENE","OK")</f>
        <v/>
      </c>
      <c r="N46" s="67" t="n">
        <v>1</v>
      </c>
      <c r="O46" s="67" t="n">
        <v>1</v>
      </c>
      <c r="P46" s="68">
        <f>H46*N46*O46</f>
        <v/>
      </c>
      <c r="Q46" s="64">
        <f>IF(O46&lt;&gt;1,"SBA+Causal","SBA Only")</f>
        <v/>
      </c>
    </row>
    <row r="47" ht="16" customHeight="1">
      <c r="A47" s="64" t="inlineStr">
        <is>
          <t>Aug-25</t>
        </is>
      </c>
      <c r="B47" s="65" t="n">
        <v>0</v>
      </c>
      <c r="C47" s="64">
        <f>IF(B47&gt;0,1,0)</f>
        <v/>
      </c>
      <c r="D47" s="64" t="n">
        <v>4</v>
      </c>
      <c r="E47" s="66">
        <f>IF(B47&gt;0,$C$4*B47+(1-$C$4)*E46,E46)</f>
        <v/>
      </c>
      <c r="F47" s="66">
        <f>IF(B47&gt;0,$C$4*D47+(1-$C$4)*F46,F46)</f>
        <v/>
      </c>
      <c r="G47" s="66">
        <f>AVERAGE(B44:B46)</f>
        <v/>
      </c>
      <c r="H47" s="66">
        <f>(1-$C$4/2)*(E47/IF(F47=0,1,F47))</f>
        <v/>
      </c>
      <c r="I47" s="66">
        <f>ABS(H47-B47)</f>
        <v/>
      </c>
      <c r="J47" s="66">
        <f>J46+(H47-B47)</f>
        <v/>
      </c>
      <c r="K47" s="66">
        <f>AVERAGE($I$40:I47)</f>
        <v/>
      </c>
      <c r="L47" s="66">
        <f>IF(K47=0,0,J47/K47)</f>
        <v/>
      </c>
      <c r="M47" s="64">
        <f>IF(OR(L47&gt;4,L47&lt;-4),"INTERVENE","OK")</f>
        <v/>
      </c>
      <c r="N47" s="67" t="n">
        <v>1</v>
      </c>
      <c r="O47" s="67" t="n">
        <v>1</v>
      </c>
      <c r="P47" s="68">
        <f>H47*N47*O47</f>
        <v/>
      </c>
      <c r="Q47" s="64">
        <f>IF(O47&lt;&gt;1,"SBA+Causal","SBA Only")</f>
        <v/>
      </c>
    </row>
    <row r="48" ht="16" customHeight="1">
      <c r="A48" s="64" t="inlineStr">
        <is>
          <t>Sep-25</t>
        </is>
      </c>
      <c r="B48" s="65" t="n">
        <v>0</v>
      </c>
      <c r="C48" s="64">
        <f>IF(B48&gt;0,1,0)</f>
        <v/>
      </c>
      <c r="D48" s="64" t="n">
        <v>5</v>
      </c>
      <c r="E48" s="66">
        <f>IF(B48&gt;0,$C$4*B48+(1-$C$4)*E47,E47)</f>
        <v/>
      </c>
      <c r="F48" s="66">
        <f>IF(B48&gt;0,$C$4*D48+(1-$C$4)*F47,F47)</f>
        <v/>
      </c>
      <c r="G48" s="66">
        <f>AVERAGE(B45:B47)</f>
        <v/>
      </c>
      <c r="H48" s="66">
        <f>(1-$C$4/2)*(E48/IF(F48=0,1,F48))</f>
        <v/>
      </c>
      <c r="I48" s="66">
        <f>ABS(H48-B48)</f>
        <v/>
      </c>
      <c r="J48" s="66">
        <f>J47+(H48-B48)</f>
        <v/>
      </c>
      <c r="K48" s="66">
        <f>AVERAGE($I$40:I48)</f>
        <v/>
      </c>
      <c r="L48" s="66">
        <f>IF(K48=0,0,J48/K48)</f>
        <v/>
      </c>
      <c r="M48" s="64">
        <f>IF(OR(L48&gt;4,L48&lt;-4),"INTERVENE","OK")</f>
        <v/>
      </c>
      <c r="N48" s="67" t="n">
        <v>1</v>
      </c>
      <c r="O48" s="67" t="n">
        <v>1</v>
      </c>
      <c r="P48" s="68">
        <f>H48*N48*O48</f>
        <v/>
      </c>
      <c r="Q48" s="64">
        <f>IF(O48&lt;&gt;1,"SBA+Causal","SBA Only")</f>
        <v/>
      </c>
    </row>
    <row r="49" ht="16" customHeight="1">
      <c r="A49" s="64" t="inlineStr">
        <is>
          <t>Oct-25</t>
        </is>
      </c>
      <c r="B49" s="65" t="n">
        <v>4</v>
      </c>
      <c r="C49" s="64">
        <f>IF(B49&gt;0,1,0)</f>
        <v/>
      </c>
      <c r="D49" s="64" t="n">
        <v>1</v>
      </c>
      <c r="E49" s="66">
        <f>IF(B49&gt;0,$C$4*B49+(1-$C$4)*E48,E48)</f>
        <v/>
      </c>
      <c r="F49" s="66">
        <f>IF(B49&gt;0,$C$4*D49+(1-$C$4)*F48,F48)</f>
        <v/>
      </c>
      <c r="G49" s="66">
        <f>AVERAGE(B46:B48)</f>
        <v/>
      </c>
      <c r="H49" s="66">
        <f>(1-$C$4/2)*(E49/IF(F49=0,1,F49))</f>
        <v/>
      </c>
      <c r="I49" s="66">
        <f>ABS(H49-B49)</f>
        <v/>
      </c>
      <c r="J49" s="66">
        <f>J48+(H49-B49)</f>
        <v/>
      </c>
      <c r="K49" s="66">
        <f>AVERAGE($I$40:I49)</f>
        <v/>
      </c>
      <c r="L49" s="66">
        <f>IF(K49=0,0,J49/K49)</f>
        <v/>
      </c>
      <c r="M49" s="64">
        <f>IF(OR(L49&gt;4,L49&lt;-4),"INTERVENE","OK")</f>
        <v/>
      </c>
      <c r="N49" s="67" t="n">
        <v>1</v>
      </c>
      <c r="O49" s="67" t="n">
        <v>1</v>
      </c>
      <c r="P49" s="68">
        <f>H49*N49*O49</f>
        <v/>
      </c>
      <c r="Q49" s="64">
        <f>IF(O49&lt;&gt;1,"SBA+Causal","SBA Only")</f>
        <v/>
      </c>
    </row>
    <row r="50" ht="16" customHeight="1">
      <c r="A50" s="64" t="inlineStr">
        <is>
          <t>Nov-25</t>
        </is>
      </c>
      <c r="B50" s="65" t="n">
        <v>0</v>
      </c>
      <c r="C50" s="64">
        <f>IF(B50&gt;0,1,0)</f>
        <v/>
      </c>
      <c r="D50" s="64" t="n">
        <v>2</v>
      </c>
      <c r="E50" s="66">
        <f>IF(B50&gt;0,$C$4*B50+(1-$C$4)*E49,E49)</f>
        <v/>
      </c>
      <c r="F50" s="66">
        <f>IF(B50&gt;0,$C$4*D50+(1-$C$4)*F49,F49)</f>
        <v/>
      </c>
      <c r="G50" s="66">
        <f>AVERAGE(B47:B49)</f>
        <v/>
      </c>
      <c r="H50" s="66">
        <f>(1-$C$4/2)*(E50/IF(F50=0,1,F50))</f>
        <v/>
      </c>
      <c r="I50" s="66">
        <f>ABS(H50-B50)</f>
        <v/>
      </c>
      <c r="J50" s="66">
        <f>J49+(H50-B50)</f>
        <v/>
      </c>
      <c r="K50" s="66">
        <f>AVERAGE($I$40:I50)</f>
        <v/>
      </c>
      <c r="L50" s="66">
        <f>IF(K50=0,0,J50/K50)</f>
        <v/>
      </c>
      <c r="M50" s="64">
        <f>IF(OR(L50&gt;4,L50&lt;-4),"INTERVENE","OK")</f>
        <v/>
      </c>
      <c r="N50" s="67" t="n">
        <v>1</v>
      </c>
      <c r="O50" s="67" t="n">
        <v>1</v>
      </c>
      <c r="P50" s="68">
        <f>H50*N50*O50</f>
        <v/>
      </c>
      <c r="Q50" s="64">
        <f>IF(O50&lt;&gt;1,"SBA+Causal","SBA Only")</f>
        <v/>
      </c>
    </row>
    <row r="51" ht="16" customHeight="1">
      <c r="A51" s="64" t="inlineStr">
        <is>
          <t>Dec-25</t>
        </is>
      </c>
      <c r="B51" s="65" t="n">
        <v>0</v>
      </c>
      <c r="C51" s="64">
        <f>IF(B51&gt;0,1,0)</f>
        <v/>
      </c>
      <c r="D51" s="64" t="n">
        <v>3</v>
      </c>
      <c r="E51" s="66">
        <f>IF(B51&gt;0,$C$4*B51+(1-$C$4)*E50,E50)</f>
        <v/>
      </c>
      <c r="F51" s="66">
        <f>IF(B51&gt;0,$C$4*D51+(1-$C$4)*F50,F50)</f>
        <v/>
      </c>
      <c r="G51" s="66">
        <f>AVERAGE(B48:B50)</f>
        <v/>
      </c>
      <c r="H51" s="66">
        <f>(1-$C$4/2)*(E51/IF(F51=0,1,F51))</f>
        <v/>
      </c>
      <c r="I51" s="66">
        <f>ABS(H51-B51)</f>
        <v/>
      </c>
      <c r="J51" s="66">
        <f>J50+(H51-B51)</f>
        <v/>
      </c>
      <c r="K51" s="66">
        <f>AVERAGE($I$40:I51)</f>
        <v/>
      </c>
      <c r="L51" s="66">
        <f>IF(K51=0,0,J51/K51)</f>
        <v/>
      </c>
      <c r="M51" s="64">
        <f>IF(OR(L51&gt;4,L51&lt;-4),"INTERVENE","OK")</f>
        <v/>
      </c>
      <c r="N51" s="67" t="n">
        <v>1</v>
      </c>
      <c r="O51" s="67" t="n">
        <v>1</v>
      </c>
      <c r="P51" s="68">
        <f>H51*N51*O51</f>
        <v/>
      </c>
      <c r="Q51" s="64">
        <f>IF(O51&lt;&gt;1,"SBA+Causal","SBA Only")</f>
        <v/>
      </c>
    </row>
    <row r="53" ht="22" customHeight="1">
      <c r="A53" s="2" t="inlineStr">
        <is>
          <t>PART: FUSO-ENG-002 (Engine Oil Filter)</t>
        </is>
      </c>
      <c r="B53" s="3" t="n"/>
      <c r="C53" s="3" t="n"/>
      <c r="D53" s="3" t="n"/>
      <c r="E53" s="3" t="n"/>
      <c r="F53" s="3" t="n"/>
      <c r="G53" s="3" t="n"/>
      <c r="H53" s="3" t="n"/>
      <c r="I53" s="3" t="n"/>
      <c r="J53" s="3" t="n"/>
      <c r="K53" s="3" t="n"/>
      <c r="L53" s="3" t="n"/>
      <c r="M53" s="3" t="n"/>
      <c r="N53" s="3" t="n"/>
      <c r="O53" s="3" t="n"/>
      <c r="P53" s="3" t="n"/>
      <c r="Q53" s="4" t="n"/>
    </row>
    <row r="54" ht="30" customHeight="1">
      <c r="A54" s="63" t="inlineStr">
        <is>
          <t>Month</t>
        </is>
      </c>
      <c r="B54" s="63" t="inlineStr">
        <is>
          <t>Actual Demand</t>
        </is>
      </c>
      <c r="C54" s="63" t="inlineStr">
        <is>
          <t>Occurrence (1/0)</t>
        </is>
      </c>
      <c r="D54" s="63" t="inlineStr">
        <is>
          <t>Interval (p)</t>
        </is>
      </c>
      <c r="E54" s="63" t="inlineStr">
        <is>
          <t>Smoothed Size (ẑ)</t>
        </is>
      </c>
      <c r="F54" s="63" t="inlineStr">
        <is>
          <t>Smoothed Interval (p̂)</t>
        </is>
      </c>
      <c r="G54" s="63" t="inlineStr">
        <is>
          <t>SAP APO (3-MA)</t>
        </is>
      </c>
      <c r="H54" s="63" t="inlineStr">
        <is>
          <t>SBA Forecast</t>
        </is>
      </c>
      <c r="I54" s="63" t="inlineStr">
        <is>
          <t>MAE</t>
        </is>
      </c>
      <c r="J54" s="63" t="inlineStr">
        <is>
          <t>Cumul Fcst Error</t>
        </is>
      </c>
      <c r="K54" s="63" t="inlineStr">
        <is>
          <t>MAD</t>
        </is>
      </c>
      <c r="L54" s="63" t="inlineStr">
        <is>
          <t>Tracking Signal</t>
        </is>
      </c>
      <c r="M54" s="63" t="inlineStr">
        <is>
          <t>Alert</t>
        </is>
      </c>
      <c r="N54" s="63" t="inlineStr">
        <is>
          <t>Fleet Age Modifier</t>
        </is>
      </c>
      <c r="O54" s="63" t="inlineStr">
        <is>
          <t>DTC Modifier</t>
        </is>
      </c>
      <c r="P54" s="63" t="inlineStr">
        <is>
          <t>Final Adj Forecast</t>
        </is>
      </c>
      <c r="Q54" s="63" t="inlineStr">
        <is>
          <t>Forecast Source</t>
        </is>
      </c>
    </row>
    <row r="55" ht="16" customHeight="1">
      <c r="A55" s="64" t="inlineStr">
        <is>
          <t>Jan-25</t>
        </is>
      </c>
      <c r="B55" s="65" t="n">
        <v>150</v>
      </c>
      <c r="C55" s="64">
        <f>IF(B55&gt;0,1,0)</f>
        <v/>
      </c>
      <c r="D55" s="64" t="n">
        <v>1</v>
      </c>
      <c r="E55" s="66" t="n">
        <v>150</v>
      </c>
      <c r="F55" s="66" t="n">
        <v>1</v>
      </c>
      <c r="G55" s="66" t="n">
        <v>150</v>
      </c>
      <c r="H55" s="66">
        <f>(1-$C$4/2)*(E55/IF(F55=0,1,F55))</f>
        <v/>
      </c>
      <c r="I55" s="66">
        <f>ABS(H55-B55)</f>
        <v/>
      </c>
      <c r="J55" s="66">
        <f>H55-B55</f>
        <v/>
      </c>
      <c r="K55" s="66">
        <f>AVERAGE($I$55:I55)</f>
        <v/>
      </c>
      <c r="L55" s="66">
        <f>IF(K55=0,0,J55/K55)</f>
        <v/>
      </c>
      <c r="M55" s="64">
        <f>IF(OR(L55&gt;4,L55&lt;-4),"INTERVENE","OK")</f>
        <v/>
      </c>
      <c r="N55" s="67" t="n">
        <v>1</v>
      </c>
      <c r="O55" s="67" t="n">
        <v>1</v>
      </c>
      <c r="P55" s="68">
        <f>H55*N55*O55</f>
        <v/>
      </c>
      <c r="Q55" s="64">
        <f>IF(O55&lt;&gt;1,"SBA+Causal","SBA Only")</f>
        <v/>
      </c>
    </row>
    <row r="56" ht="16" customHeight="1">
      <c r="A56" s="64" t="inlineStr">
        <is>
          <t>Feb-25</t>
        </is>
      </c>
      <c r="B56" s="65" t="n">
        <v>155</v>
      </c>
      <c r="C56" s="64">
        <f>IF(B56&gt;0,1,0)</f>
        <v/>
      </c>
      <c r="D56" s="64" t="n">
        <v>1</v>
      </c>
      <c r="E56" s="66">
        <f>IF(B56&gt;0,$C$4*B56+(1-$C$4)*E55,E55)</f>
        <v/>
      </c>
      <c r="F56" s="66">
        <f>IF(B56&gt;0,$C$4*D56+(1-$C$4)*F55,F55)</f>
        <v/>
      </c>
      <c r="G56" s="66" t="n">
        <v>155</v>
      </c>
      <c r="H56" s="66">
        <f>(1-$C$4/2)*(E56/IF(F56=0,1,F56))</f>
        <v/>
      </c>
      <c r="I56" s="66">
        <f>ABS(H56-B56)</f>
        <v/>
      </c>
      <c r="J56" s="66">
        <f>J55+(H56-B56)</f>
        <v/>
      </c>
      <c r="K56" s="66">
        <f>AVERAGE($I$55:I56)</f>
        <v/>
      </c>
      <c r="L56" s="66">
        <f>IF(K56=0,0,J56/K56)</f>
        <v/>
      </c>
      <c r="M56" s="64">
        <f>IF(OR(L56&gt;4,L56&lt;-4),"INTERVENE","OK")</f>
        <v/>
      </c>
      <c r="N56" s="67" t="n">
        <v>1</v>
      </c>
      <c r="O56" s="67" t="n">
        <v>1</v>
      </c>
      <c r="P56" s="68">
        <f>H56*N56*O56</f>
        <v/>
      </c>
      <c r="Q56" s="64">
        <f>IF(O56&lt;&gt;1,"SBA+Causal","SBA Only")</f>
        <v/>
      </c>
    </row>
    <row r="57" ht="16" customHeight="1">
      <c r="A57" s="64" t="inlineStr">
        <is>
          <t>Mar-25</t>
        </is>
      </c>
      <c r="B57" s="65" t="n">
        <v>148</v>
      </c>
      <c r="C57" s="64">
        <f>IF(B57&gt;0,1,0)</f>
        <v/>
      </c>
      <c r="D57" s="64" t="n">
        <v>1</v>
      </c>
      <c r="E57" s="66">
        <f>IF(B57&gt;0,$C$4*B57+(1-$C$4)*E56,E56)</f>
        <v/>
      </c>
      <c r="F57" s="66">
        <f>IF(B57&gt;0,$C$4*D57+(1-$C$4)*F56,F56)</f>
        <v/>
      </c>
      <c r="G57" s="66" t="n">
        <v>148</v>
      </c>
      <c r="H57" s="66">
        <f>(1-$C$4/2)*(E57/IF(F57=0,1,F57))</f>
        <v/>
      </c>
      <c r="I57" s="66">
        <f>ABS(H57-B57)</f>
        <v/>
      </c>
      <c r="J57" s="66">
        <f>J56+(H57-B57)</f>
        <v/>
      </c>
      <c r="K57" s="66">
        <f>AVERAGE($I$55:I57)</f>
        <v/>
      </c>
      <c r="L57" s="66">
        <f>IF(K57=0,0,J57/K57)</f>
        <v/>
      </c>
      <c r="M57" s="64">
        <f>IF(OR(L57&gt;4,L57&lt;-4),"INTERVENE","OK")</f>
        <v/>
      </c>
      <c r="N57" s="67" t="n">
        <v>1</v>
      </c>
      <c r="O57" s="67" t="n">
        <v>1</v>
      </c>
      <c r="P57" s="68">
        <f>H57*N57*O57</f>
        <v/>
      </c>
      <c r="Q57" s="64">
        <f>IF(O57&lt;&gt;1,"SBA+Causal","SBA Only")</f>
        <v/>
      </c>
    </row>
    <row r="58" ht="16" customHeight="1">
      <c r="A58" s="64" t="inlineStr">
        <is>
          <t>Apr-25</t>
        </is>
      </c>
      <c r="B58" s="65" t="n">
        <v>160</v>
      </c>
      <c r="C58" s="64">
        <f>IF(B58&gt;0,1,0)</f>
        <v/>
      </c>
      <c r="D58" s="64" t="n">
        <v>1</v>
      </c>
      <c r="E58" s="66">
        <f>IF(B58&gt;0,$C$4*B58+(1-$C$4)*E57,E57)</f>
        <v/>
      </c>
      <c r="F58" s="66">
        <f>IF(B58&gt;0,$C$4*D58+(1-$C$4)*F57,F57)</f>
        <v/>
      </c>
      <c r="G58" s="66">
        <f>AVERAGE(B55:B57)</f>
        <v/>
      </c>
      <c r="H58" s="66">
        <f>(1-$C$4/2)*(E58/IF(F58=0,1,F58))</f>
        <v/>
      </c>
      <c r="I58" s="66">
        <f>ABS(H58-B58)</f>
        <v/>
      </c>
      <c r="J58" s="66">
        <f>J57+(H58-B58)</f>
        <v/>
      </c>
      <c r="K58" s="66">
        <f>AVERAGE($I$55:I58)</f>
        <v/>
      </c>
      <c r="L58" s="66">
        <f>IF(K58=0,0,J58/K58)</f>
        <v/>
      </c>
      <c r="M58" s="64">
        <f>IF(OR(L58&gt;4,L58&lt;-4),"INTERVENE","OK")</f>
        <v/>
      </c>
      <c r="N58" s="67" t="n">
        <v>1</v>
      </c>
      <c r="O58" s="67" t="n">
        <v>1</v>
      </c>
      <c r="P58" s="68">
        <f>H58*N58*O58</f>
        <v/>
      </c>
      <c r="Q58" s="64">
        <f>IF(O58&lt;&gt;1,"SBA+Causal","SBA Only")</f>
        <v/>
      </c>
    </row>
    <row r="59" ht="16" customHeight="1">
      <c r="A59" s="64" t="inlineStr">
        <is>
          <t>May-25</t>
        </is>
      </c>
      <c r="B59" s="65" t="n">
        <v>152</v>
      </c>
      <c r="C59" s="64">
        <f>IF(B59&gt;0,1,0)</f>
        <v/>
      </c>
      <c r="D59" s="64" t="n">
        <v>1</v>
      </c>
      <c r="E59" s="66">
        <f>IF(B59&gt;0,$C$4*B59+(1-$C$4)*E58,E58)</f>
        <v/>
      </c>
      <c r="F59" s="66">
        <f>IF(B59&gt;0,$C$4*D59+(1-$C$4)*F58,F58)</f>
        <v/>
      </c>
      <c r="G59" s="66">
        <f>AVERAGE(B56:B58)</f>
        <v/>
      </c>
      <c r="H59" s="66">
        <f>(1-$C$4/2)*(E59/IF(F59=0,1,F59))</f>
        <v/>
      </c>
      <c r="I59" s="66">
        <f>ABS(H59-B59)</f>
        <v/>
      </c>
      <c r="J59" s="66">
        <f>J58+(H59-B59)</f>
        <v/>
      </c>
      <c r="K59" s="66">
        <f>AVERAGE($I$55:I59)</f>
        <v/>
      </c>
      <c r="L59" s="66">
        <f>IF(K59=0,0,J59/K59)</f>
        <v/>
      </c>
      <c r="M59" s="64">
        <f>IF(OR(L59&gt;4,L59&lt;-4),"INTERVENE","OK")</f>
        <v/>
      </c>
      <c r="N59" s="67" t="n">
        <v>1</v>
      </c>
      <c r="O59" s="67" t="n">
        <v>1</v>
      </c>
      <c r="P59" s="68">
        <f>H59*N59*O59</f>
        <v/>
      </c>
      <c r="Q59" s="64">
        <f>IF(O59&lt;&gt;1,"SBA+Causal","SBA Only")</f>
        <v/>
      </c>
    </row>
    <row r="60" ht="16" customHeight="1">
      <c r="A60" s="64" t="inlineStr">
        <is>
          <t>Jun-25</t>
        </is>
      </c>
      <c r="B60" s="65" t="n">
        <v>149</v>
      </c>
      <c r="C60" s="64">
        <f>IF(B60&gt;0,1,0)</f>
        <v/>
      </c>
      <c r="D60" s="64" t="n">
        <v>1</v>
      </c>
      <c r="E60" s="66">
        <f>IF(B60&gt;0,$C$4*B60+(1-$C$4)*E59,E59)</f>
        <v/>
      </c>
      <c r="F60" s="66">
        <f>IF(B60&gt;0,$C$4*D60+(1-$C$4)*F59,F59)</f>
        <v/>
      </c>
      <c r="G60" s="66">
        <f>AVERAGE(B57:B59)</f>
        <v/>
      </c>
      <c r="H60" s="66">
        <f>(1-$C$4/2)*(E60/IF(F60=0,1,F60))</f>
        <v/>
      </c>
      <c r="I60" s="66">
        <f>ABS(H60-B60)</f>
        <v/>
      </c>
      <c r="J60" s="66">
        <f>J59+(H60-B60)</f>
        <v/>
      </c>
      <c r="K60" s="66">
        <f>AVERAGE($I$55:I60)</f>
        <v/>
      </c>
      <c r="L60" s="66">
        <f>IF(K60=0,0,J60/K60)</f>
        <v/>
      </c>
      <c r="M60" s="64">
        <f>IF(OR(L60&gt;4,L60&lt;-4),"INTERVENE","OK")</f>
        <v/>
      </c>
      <c r="N60" s="67" t="n">
        <v>1</v>
      </c>
      <c r="O60" s="67" t="n">
        <v>1</v>
      </c>
      <c r="P60" s="68">
        <f>H60*N60*O60</f>
        <v/>
      </c>
      <c r="Q60" s="64">
        <f>IF(O60&lt;&gt;1,"SBA+Causal","SBA Only")</f>
        <v/>
      </c>
    </row>
    <row r="61" ht="16" customHeight="1">
      <c r="A61" s="64" t="inlineStr">
        <is>
          <t>Jul-25</t>
        </is>
      </c>
      <c r="B61" s="65" t="n">
        <v>155</v>
      </c>
      <c r="C61" s="64">
        <f>IF(B61&gt;0,1,0)</f>
        <v/>
      </c>
      <c r="D61" s="64" t="n">
        <v>1</v>
      </c>
      <c r="E61" s="66">
        <f>IF(B61&gt;0,$C$4*B61+(1-$C$4)*E60,E60)</f>
        <v/>
      </c>
      <c r="F61" s="66">
        <f>IF(B61&gt;0,$C$4*D61+(1-$C$4)*F60,F60)</f>
        <v/>
      </c>
      <c r="G61" s="66">
        <f>AVERAGE(B58:B60)</f>
        <v/>
      </c>
      <c r="H61" s="66">
        <f>(1-$C$4/2)*(E61/IF(F61=0,1,F61))</f>
        <v/>
      </c>
      <c r="I61" s="66">
        <f>ABS(H61-B61)</f>
        <v/>
      </c>
      <c r="J61" s="66">
        <f>J60+(H61-B61)</f>
        <v/>
      </c>
      <c r="K61" s="66">
        <f>AVERAGE($I$55:I61)</f>
        <v/>
      </c>
      <c r="L61" s="66">
        <f>IF(K61=0,0,J61/K61)</f>
        <v/>
      </c>
      <c r="M61" s="64">
        <f>IF(OR(L61&gt;4,L61&lt;-4),"INTERVENE","OK")</f>
        <v/>
      </c>
      <c r="N61" s="67" t="n">
        <v>1</v>
      </c>
      <c r="O61" s="67" t="n">
        <v>1</v>
      </c>
      <c r="P61" s="68">
        <f>H61*N61*O61</f>
        <v/>
      </c>
      <c r="Q61" s="64">
        <f>IF(O61&lt;&gt;1,"SBA+Causal","SBA Only")</f>
        <v/>
      </c>
    </row>
    <row r="62" ht="16" customHeight="1">
      <c r="A62" s="64" t="inlineStr">
        <is>
          <t>Aug-25</t>
        </is>
      </c>
      <c r="B62" s="65" t="n">
        <v>158</v>
      </c>
      <c r="C62" s="64">
        <f>IF(B62&gt;0,1,0)</f>
        <v/>
      </c>
      <c r="D62" s="64" t="n">
        <v>1</v>
      </c>
      <c r="E62" s="66">
        <f>IF(B62&gt;0,$C$4*B62+(1-$C$4)*E61,E61)</f>
        <v/>
      </c>
      <c r="F62" s="66">
        <f>IF(B62&gt;0,$C$4*D62+(1-$C$4)*F61,F61)</f>
        <v/>
      </c>
      <c r="G62" s="66">
        <f>AVERAGE(B59:B61)</f>
        <v/>
      </c>
      <c r="H62" s="66">
        <f>(1-$C$4/2)*(E62/IF(F62=0,1,F62))</f>
        <v/>
      </c>
      <c r="I62" s="66">
        <f>ABS(H62-B62)</f>
        <v/>
      </c>
      <c r="J62" s="66">
        <f>J61+(H62-B62)</f>
        <v/>
      </c>
      <c r="K62" s="66">
        <f>AVERAGE($I$55:I62)</f>
        <v/>
      </c>
      <c r="L62" s="66">
        <f>IF(K62=0,0,J62/K62)</f>
        <v/>
      </c>
      <c r="M62" s="64">
        <f>IF(OR(L62&gt;4,L62&lt;-4),"INTERVENE","OK")</f>
        <v/>
      </c>
      <c r="N62" s="67" t="n">
        <v>1</v>
      </c>
      <c r="O62" s="67" t="n">
        <v>1</v>
      </c>
      <c r="P62" s="68">
        <f>H62*N62*O62</f>
        <v/>
      </c>
      <c r="Q62" s="64">
        <f>IF(O62&lt;&gt;1,"SBA+Causal","SBA Only")</f>
        <v/>
      </c>
    </row>
    <row r="63" ht="16" customHeight="1">
      <c r="A63" s="64" t="inlineStr">
        <is>
          <t>Sep-25</t>
        </is>
      </c>
      <c r="B63" s="65" t="n">
        <v>151</v>
      </c>
      <c r="C63" s="64">
        <f>IF(B63&gt;0,1,0)</f>
        <v/>
      </c>
      <c r="D63" s="64" t="n">
        <v>1</v>
      </c>
      <c r="E63" s="66">
        <f>IF(B63&gt;0,$C$4*B63+(1-$C$4)*E62,E62)</f>
        <v/>
      </c>
      <c r="F63" s="66">
        <f>IF(B63&gt;0,$C$4*D63+(1-$C$4)*F62,F62)</f>
        <v/>
      </c>
      <c r="G63" s="66">
        <f>AVERAGE(B60:B62)</f>
        <v/>
      </c>
      <c r="H63" s="66">
        <f>(1-$C$4/2)*(E63/IF(F63=0,1,F63))</f>
        <v/>
      </c>
      <c r="I63" s="66">
        <f>ABS(H63-B63)</f>
        <v/>
      </c>
      <c r="J63" s="66">
        <f>J62+(H63-B63)</f>
        <v/>
      </c>
      <c r="K63" s="66">
        <f>AVERAGE($I$55:I63)</f>
        <v/>
      </c>
      <c r="L63" s="66">
        <f>IF(K63=0,0,J63/K63)</f>
        <v/>
      </c>
      <c r="M63" s="64">
        <f>IF(OR(L63&gt;4,L63&lt;-4),"INTERVENE","OK")</f>
        <v/>
      </c>
      <c r="N63" s="67" t="n">
        <v>1</v>
      </c>
      <c r="O63" s="67" t="n">
        <v>1</v>
      </c>
      <c r="P63" s="68">
        <f>H63*N63*O63</f>
        <v/>
      </c>
      <c r="Q63" s="64">
        <f>IF(O63&lt;&gt;1,"SBA+Causal","SBA Only")</f>
        <v/>
      </c>
    </row>
    <row r="64" ht="16" customHeight="1">
      <c r="A64" s="64" t="inlineStr">
        <is>
          <t>Oct-25</t>
        </is>
      </c>
      <c r="B64" s="65" t="n">
        <v>153</v>
      </c>
      <c r="C64" s="64">
        <f>IF(B64&gt;0,1,0)</f>
        <v/>
      </c>
      <c r="D64" s="64" t="n">
        <v>1</v>
      </c>
      <c r="E64" s="66">
        <f>IF(B64&gt;0,$C$4*B64+(1-$C$4)*E63,E63)</f>
        <v/>
      </c>
      <c r="F64" s="66">
        <f>IF(B64&gt;0,$C$4*D64+(1-$C$4)*F63,F63)</f>
        <v/>
      </c>
      <c r="G64" s="66">
        <f>AVERAGE(B61:B63)</f>
        <v/>
      </c>
      <c r="H64" s="66">
        <f>(1-$C$4/2)*(E64/IF(F64=0,1,F64))</f>
        <v/>
      </c>
      <c r="I64" s="66">
        <f>ABS(H64-B64)</f>
        <v/>
      </c>
      <c r="J64" s="66">
        <f>J63+(H64-B64)</f>
        <v/>
      </c>
      <c r="K64" s="66">
        <f>AVERAGE($I$55:I64)</f>
        <v/>
      </c>
      <c r="L64" s="66">
        <f>IF(K64=0,0,J64/K64)</f>
        <v/>
      </c>
      <c r="M64" s="64">
        <f>IF(OR(L64&gt;4,L64&lt;-4),"INTERVENE","OK")</f>
        <v/>
      </c>
      <c r="N64" s="67" t="n">
        <v>1</v>
      </c>
      <c r="O64" s="67" t="n">
        <v>1</v>
      </c>
      <c r="P64" s="68">
        <f>H64*N64*O64</f>
        <v/>
      </c>
      <c r="Q64" s="64">
        <f>IF(O64&lt;&gt;1,"SBA+Causal","SBA Only")</f>
        <v/>
      </c>
    </row>
    <row r="65" ht="16" customHeight="1">
      <c r="A65" s="64" t="inlineStr">
        <is>
          <t>Nov-25</t>
        </is>
      </c>
      <c r="B65" s="65" t="n">
        <v>156</v>
      </c>
      <c r="C65" s="64">
        <f>IF(B65&gt;0,1,0)</f>
        <v/>
      </c>
      <c r="D65" s="64" t="n">
        <v>1</v>
      </c>
      <c r="E65" s="66">
        <f>IF(B65&gt;0,$C$4*B65+(1-$C$4)*E64,E64)</f>
        <v/>
      </c>
      <c r="F65" s="66">
        <f>IF(B65&gt;0,$C$4*D65+(1-$C$4)*F64,F64)</f>
        <v/>
      </c>
      <c r="G65" s="66">
        <f>AVERAGE(B62:B64)</f>
        <v/>
      </c>
      <c r="H65" s="66">
        <f>(1-$C$4/2)*(E65/IF(F65=0,1,F65))</f>
        <v/>
      </c>
      <c r="I65" s="66">
        <f>ABS(H65-B65)</f>
        <v/>
      </c>
      <c r="J65" s="66">
        <f>J64+(H65-B65)</f>
        <v/>
      </c>
      <c r="K65" s="66">
        <f>AVERAGE($I$55:I65)</f>
        <v/>
      </c>
      <c r="L65" s="66">
        <f>IF(K65=0,0,J65/K65)</f>
        <v/>
      </c>
      <c r="M65" s="64">
        <f>IF(OR(L65&gt;4,L65&lt;-4),"INTERVENE","OK")</f>
        <v/>
      </c>
      <c r="N65" s="67" t="n">
        <v>1</v>
      </c>
      <c r="O65" s="67" t="n">
        <v>1</v>
      </c>
      <c r="P65" s="68">
        <f>H65*N65*O65</f>
        <v/>
      </c>
      <c r="Q65" s="64">
        <f>IF(O65&lt;&gt;1,"SBA+Causal","SBA Only")</f>
        <v/>
      </c>
    </row>
    <row r="66" ht="16" customHeight="1">
      <c r="A66" s="64" t="inlineStr">
        <is>
          <t>Dec-25</t>
        </is>
      </c>
      <c r="B66" s="65" t="n">
        <v>160</v>
      </c>
      <c r="C66" s="64">
        <f>IF(B66&gt;0,1,0)</f>
        <v/>
      </c>
      <c r="D66" s="64" t="n">
        <v>1</v>
      </c>
      <c r="E66" s="66">
        <f>IF(B66&gt;0,$C$4*B66+(1-$C$4)*E65,E65)</f>
        <v/>
      </c>
      <c r="F66" s="66">
        <f>IF(B66&gt;0,$C$4*D66+(1-$C$4)*F65,F65)</f>
        <v/>
      </c>
      <c r="G66" s="66">
        <f>AVERAGE(B63:B65)</f>
        <v/>
      </c>
      <c r="H66" s="66">
        <f>(1-$C$4/2)*(E66/IF(F66=0,1,F66))</f>
        <v/>
      </c>
      <c r="I66" s="66">
        <f>ABS(H66-B66)</f>
        <v/>
      </c>
      <c r="J66" s="66">
        <f>J65+(H66-B66)</f>
        <v/>
      </c>
      <c r="K66" s="66">
        <f>AVERAGE($I$55:I66)</f>
        <v/>
      </c>
      <c r="L66" s="66">
        <f>IF(K66=0,0,J66/K66)</f>
        <v/>
      </c>
      <c r="M66" s="64">
        <f>IF(OR(L66&gt;4,L66&lt;-4),"INTERVENE","OK")</f>
        <v/>
      </c>
      <c r="N66" s="67" t="n">
        <v>1</v>
      </c>
      <c r="O66" s="67" t="n">
        <v>1</v>
      </c>
      <c r="P66" s="68">
        <f>H66*N66*O66</f>
        <v/>
      </c>
      <c r="Q66" s="64">
        <f>IF(O66&lt;&gt;1,"SBA+Causal","SBA Only")</f>
        <v/>
      </c>
    </row>
    <row r="68" ht="22" customHeight="1">
      <c r="A68" s="2" t="inlineStr">
        <is>
          <t>PART: FUSO-INJ-010 (Injector Nozzle)</t>
        </is>
      </c>
      <c r="B68" s="3" t="n"/>
      <c r="C68" s="3" t="n"/>
      <c r="D68" s="3" t="n"/>
      <c r="E68" s="3" t="n"/>
      <c r="F68" s="3" t="n"/>
      <c r="G68" s="3" t="n"/>
      <c r="H68" s="3" t="n"/>
      <c r="I68" s="3" t="n"/>
      <c r="J68" s="3" t="n"/>
      <c r="K68" s="3" t="n"/>
      <c r="L68" s="3" t="n"/>
      <c r="M68" s="3" t="n"/>
      <c r="N68" s="3" t="n"/>
      <c r="O68" s="3" t="n"/>
      <c r="P68" s="3" t="n"/>
      <c r="Q68" s="4" t="n"/>
    </row>
    <row r="69" ht="30" customHeight="1">
      <c r="A69" s="63" t="inlineStr">
        <is>
          <t>Month</t>
        </is>
      </c>
      <c r="B69" s="63" t="inlineStr">
        <is>
          <t>Actual Demand</t>
        </is>
      </c>
      <c r="C69" s="63" t="inlineStr">
        <is>
          <t>Occurrence (1/0)</t>
        </is>
      </c>
      <c r="D69" s="63" t="inlineStr">
        <is>
          <t>Interval (p)</t>
        </is>
      </c>
      <c r="E69" s="63" t="inlineStr">
        <is>
          <t>Smoothed Size (ẑ)</t>
        </is>
      </c>
      <c r="F69" s="63" t="inlineStr">
        <is>
          <t>Smoothed Interval (p̂)</t>
        </is>
      </c>
      <c r="G69" s="63" t="inlineStr">
        <is>
          <t>SAP APO (3-MA)</t>
        </is>
      </c>
      <c r="H69" s="63" t="inlineStr">
        <is>
          <t>SBA Forecast</t>
        </is>
      </c>
      <c r="I69" s="63" t="inlineStr">
        <is>
          <t>MAE</t>
        </is>
      </c>
      <c r="J69" s="63" t="inlineStr">
        <is>
          <t>Cumul Fcst Error</t>
        </is>
      </c>
      <c r="K69" s="63" t="inlineStr">
        <is>
          <t>MAD</t>
        </is>
      </c>
      <c r="L69" s="63" t="inlineStr">
        <is>
          <t>Tracking Signal</t>
        </is>
      </c>
      <c r="M69" s="63" t="inlineStr">
        <is>
          <t>Alert</t>
        </is>
      </c>
      <c r="N69" s="63" t="inlineStr">
        <is>
          <t>Fleet Age Modifier</t>
        </is>
      </c>
      <c r="O69" s="63" t="inlineStr">
        <is>
          <t>DTC Modifier</t>
        </is>
      </c>
      <c r="P69" s="63" t="inlineStr">
        <is>
          <t>Final Adj Forecast</t>
        </is>
      </c>
      <c r="Q69" s="63" t="inlineStr">
        <is>
          <t>Forecast Source</t>
        </is>
      </c>
    </row>
    <row r="70" ht="16" customHeight="1">
      <c r="A70" s="64" t="inlineStr">
        <is>
          <t>Jan-25</t>
        </is>
      </c>
      <c r="B70" s="65" t="n">
        <v>0</v>
      </c>
      <c r="C70" s="64">
        <f>IF(B70&gt;0,1,0)</f>
        <v/>
      </c>
      <c r="D70" s="64" t="n">
        <v>1</v>
      </c>
      <c r="E70" s="66" t="n">
        <v>1</v>
      </c>
      <c r="F70" s="66" t="n">
        <v>1</v>
      </c>
      <c r="G70" s="66" t="n">
        <v>0</v>
      </c>
      <c r="H70" s="66">
        <f>(1-$C$4/2)*(E70/IF(F70=0,1,F70))</f>
        <v/>
      </c>
      <c r="I70" s="66">
        <f>ABS(H70-B70)</f>
        <v/>
      </c>
      <c r="J70" s="66">
        <f>H70-B70</f>
        <v/>
      </c>
      <c r="K70" s="66">
        <f>AVERAGE($I$70:I70)</f>
        <v/>
      </c>
      <c r="L70" s="66">
        <f>IF(K70=0,0,J70/K70)</f>
        <v/>
      </c>
      <c r="M70" s="64">
        <f>IF(OR(L70&gt;4,L70&lt;-4),"INTERVENE","OK")</f>
        <v/>
      </c>
      <c r="N70" s="67" t="n">
        <v>1</v>
      </c>
      <c r="O70" s="67" t="n">
        <v>1</v>
      </c>
      <c r="P70" s="68">
        <f>H70*N70*O70</f>
        <v/>
      </c>
      <c r="Q70" s="64">
        <f>IF(O70&lt;&gt;1,"SBA+Causal","SBA Only")</f>
        <v/>
      </c>
    </row>
    <row r="71" ht="16" customHeight="1">
      <c r="A71" s="64" t="inlineStr">
        <is>
          <t>Feb-25</t>
        </is>
      </c>
      <c r="B71" s="65" t="n">
        <v>3</v>
      </c>
      <c r="C71" s="64">
        <f>IF(B71&gt;0,1,0)</f>
        <v/>
      </c>
      <c r="D71" s="64" t="n">
        <v>1</v>
      </c>
      <c r="E71" s="66">
        <f>IF(B71&gt;0,$C$4*B71+(1-$C$4)*E70,E70)</f>
        <v/>
      </c>
      <c r="F71" s="66">
        <f>IF(B71&gt;0,$C$4*D71+(1-$C$4)*F70,F70)</f>
        <v/>
      </c>
      <c r="G71" s="66" t="n">
        <v>3</v>
      </c>
      <c r="H71" s="66">
        <f>(1-$C$4/2)*(E71/IF(F71=0,1,F71))</f>
        <v/>
      </c>
      <c r="I71" s="66">
        <f>ABS(H71-B71)</f>
        <v/>
      </c>
      <c r="J71" s="66">
        <f>J70+(H71-B71)</f>
        <v/>
      </c>
      <c r="K71" s="66">
        <f>AVERAGE($I$70:I71)</f>
        <v/>
      </c>
      <c r="L71" s="66">
        <f>IF(K71=0,0,J71/K71)</f>
        <v/>
      </c>
      <c r="M71" s="64">
        <f>IF(OR(L71&gt;4,L71&lt;-4),"INTERVENE","OK")</f>
        <v/>
      </c>
      <c r="N71" s="67" t="n">
        <v>1</v>
      </c>
      <c r="O71" s="67" t="n">
        <v>1</v>
      </c>
      <c r="P71" s="68">
        <f>H71*N71*O71</f>
        <v/>
      </c>
      <c r="Q71" s="64">
        <f>IF(O71&lt;&gt;1,"SBA+Causal","SBA Only")</f>
        <v/>
      </c>
    </row>
    <row r="72" ht="16" customHeight="1">
      <c r="A72" s="64" t="inlineStr">
        <is>
          <t>Mar-25</t>
        </is>
      </c>
      <c r="B72" s="65" t="n">
        <v>0</v>
      </c>
      <c r="C72" s="64">
        <f>IF(B72&gt;0,1,0)</f>
        <v/>
      </c>
      <c r="D72" s="64" t="n">
        <v>2</v>
      </c>
      <c r="E72" s="66">
        <f>IF(B72&gt;0,$C$4*B72+(1-$C$4)*E71,E71)</f>
        <v/>
      </c>
      <c r="F72" s="66">
        <f>IF(B72&gt;0,$C$4*D72+(1-$C$4)*F71,F71)</f>
        <v/>
      </c>
      <c r="G72" s="66" t="n">
        <v>0</v>
      </c>
      <c r="H72" s="66">
        <f>(1-$C$4/2)*(E72/IF(F72=0,1,F72))</f>
        <v/>
      </c>
      <c r="I72" s="66">
        <f>ABS(H72-B72)</f>
        <v/>
      </c>
      <c r="J72" s="66">
        <f>J71+(H72-B72)</f>
        <v/>
      </c>
      <c r="K72" s="66">
        <f>AVERAGE($I$70:I72)</f>
        <v/>
      </c>
      <c r="L72" s="66">
        <f>IF(K72=0,0,J72/K72)</f>
        <v/>
      </c>
      <c r="M72" s="64">
        <f>IF(OR(L72&gt;4,L72&lt;-4),"INTERVENE","OK")</f>
        <v/>
      </c>
      <c r="N72" s="67" t="n">
        <v>1</v>
      </c>
      <c r="O72" s="67" t="n">
        <v>1</v>
      </c>
      <c r="P72" s="68">
        <f>H72*N72*O72</f>
        <v/>
      </c>
      <c r="Q72" s="64">
        <f>IF(O72&lt;&gt;1,"SBA+Causal","SBA Only")</f>
        <v/>
      </c>
    </row>
    <row r="73" ht="16" customHeight="1">
      <c r="A73" s="64" t="inlineStr">
        <is>
          <t>Apr-25</t>
        </is>
      </c>
      <c r="B73" s="65" t="n">
        <v>0</v>
      </c>
      <c r="C73" s="64">
        <f>IF(B73&gt;0,1,0)</f>
        <v/>
      </c>
      <c r="D73" s="64" t="n">
        <v>3</v>
      </c>
      <c r="E73" s="66">
        <f>IF(B73&gt;0,$C$4*B73+(1-$C$4)*E72,E72)</f>
        <v/>
      </c>
      <c r="F73" s="66">
        <f>IF(B73&gt;0,$C$4*D73+(1-$C$4)*F72,F72)</f>
        <v/>
      </c>
      <c r="G73" s="66">
        <f>AVERAGE(B70:B72)</f>
        <v/>
      </c>
      <c r="H73" s="66">
        <f>(1-$C$4/2)*(E73/IF(F73=0,1,F73))</f>
        <v/>
      </c>
      <c r="I73" s="66">
        <f>ABS(H73-B73)</f>
        <v/>
      </c>
      <c r="J73" s="66">
        <f>J72+(H73-B73)</f>
        <v/>
      </c>
      <c r="K73" s="66">
        <f>AVERAGE($I$70:I73)</f>
        <v/>
      </c>
      <c r="L73" s="66">
        <f>IF(K73=0,0,J73/K73)</f>
        <v/>
      </c>
      <c r="M73" s="64">
        <f>IF(OR(L73&gt;4,L73&lt;-4),"INTERVENE","OK")</f>
        <v/>
      </c>
      <c r="N73" s="67" t="n">
        <v>1</v>
      </c>
      <c r="O73" s="67" t="n">
        <v>1</v>
      </c>
      <c r="P73" s="68">
        <f>H73*N73*O73</f>
        <v/>
      </c>
      <c r="Q73" s="64">
        <f>IF(O73&lt;&gt;1,"SBA+Causal","SBA Only")</f>
        <v/>
      </c>
    </row>
    <row r="74" ht="16" customHeight="1">
      <c r="A74" s="64" t="inlineStr">
        <is>
          <t>May-25</t>
        </is>
      </c>
      <c r="B74" s="65" t="n">
        <v>4</v>
      </c>
      <c r="C74" s="64">
        <f>IF(B74&gt;0,1,0)</f>
        <v/>
      </c>
      <c r="D74" s="64" t="n">
        <v>1</v>
      </c>
      <c r="E74" s="66">
        <f>IF(B74&gt;0,$C$4*B74+(1-$C$4)*E73,E73)</f>
        <v/>
      </c>
      <c r="F74" s="66">
        <f>IF(B74&gt;0,$C$4*D74+(1-$C$4)*F73,F73)</f>
        <v/>
      </c>
      <c r="G74" s="66">
        <f>AVERAGE(B71:B73)</f>
        <v/>
      </c>
      <c r="H74" s="66">
        <f>(1-$C$4/2)*(E74/IF(F74=0,1,F74))</f>
        <v/>
      </c>
      <c r="I74" s="66">
        <f>ABS(H74-B74)</f>
        <v/>
      </c>
      <c r="J74" s="66">
        <f>J73+(H74-B74)</f>
        <v/>
      </c>
      <c r="K74" s="66">
        <f>AVERAGE($I$70:I74)</f>
        <v/>
      </c>
      <c r="L74" s="66">
        <f>IF(K74=0,0,J74/K74)</f>
        <v/>
      </c>
      <c r="M74" s="64">
        <f>IF(OR(L74&gt;4,L74&lt;-4),"INTERVENE","OK")</f>
        <v/>
      </c>
      <c r="N74" s="67" t="n">
        <v>1</v>
      </c>
      <c r="O74" s="67" t="n">
        <v>1</v>
      </c>
      <c r="P74" s="68">
        <f>H74*N74*O74</f>
        <v/>
      </c>
      <c r="Q74" s="64">
        <f>IF(O74&lt;&gt;1,"SBA+Causal","SBA Only")</f>
        <v/>
      </c>
    </row>
    <row r="75" ht="16" customHeight="1">
      <c r="A75" s="64" t="inlineStr">
        <is>
          <t>Jun-25</t>
        </is>
      </c>
      <c r="B75" s="65" t="n">
        <v>0</v>
      </c>
      <c r="C75" s="64">
        <f>IF(B75&gt;0,1,0)</f>
        <v/>
      </c>
      <c r="D75" s="64" t="n">
        <v>2</v>
      </c>
      <c r="E75" s="66">
        <f>IF(B75&gt;0,$C$4*B75+(1-$C$4)*E74,E74)</f>
        <v/>
      </c>
      <c r="F75" s="66">
        <f>IF(B75&gt;0,$C$4*D75+(1-$C$4)*F74,F74)</f>
        <v/>
      </c>
      <c r="G75" s="66">
        <f>AVERAGE(B72:B74)</f>
        <v/>
      </c>
      <c r="H75" s="66">
        <f>(1-$C$4/2)*(E75/IF(F75=0,1,F75))</f>
        <v/>
      </c>
      <c r="I75" s="66">
        <f>ABS(H75-B75)</f>
        <v/>
      </c>
      <c r="J75" s="66">
        <f>J74+(H75-B75)</f>
        <v/>
      </c>
      <c r="K75" s="66">
        <f>AVERAGE($I$70:I75)</f>
        <v/>
      </c>
      <c r="L75" s="66">
        <f>IF(K75=0,0,J75/K75)</f>
        <v/>
      </c>
      <c r="M75" s="64">
        <f>IF(OR(L75&gt;4,L75&lt;-4),"INTERVENE","OK")</f>
        <v/>
      </c>
      <c r="N75" s="67" t="n">
        <v>1</v>
      </c>
      <c r="O75" s="67" t="n">
        <v>1</v>
      </c>
      <c r="P75" s="68">
        <f>H75*N75*O75</f>
        <v/>
      </c>
      <c r="Q75" s="64">
        <f>IF(O75&lt;&gt;1,"SBA+Causal","SBA Only")</f>
        <v/>
      </c>
    </row>
    <row r="76" ht="16" customHeight="1">
      <c r="A76" s="64" t="inlineStr">
        <is>
          <t>Jul-25</t>
        </is>
      </c>
      <c r="B76" s="65" t="n">
        <v>0</v>
      </c>
      <c r="C76" s="64">
        <f>IF(B76&gt;0,1,0)</f>
        <v/>
      </c>
      <c r="D76" s="64" t="n">
        <v>3</v>
      </c>
      <c r="E76" s="66">
        <f>IF(B76&gt;0,$C$4*B76+(1-$C$4)*E75,E75)</f>
        <v/>
      </c>
      <c r="F76" s="66">
        <f>IF(B76&gt;0,$C$4*D76+(1-$C$4)*F75,F75)</f>
        <v/>
      </c>
      <c r="G76" s="66">
        <f>AVERAGE(B73:B75)</f>
        <v/>
      </c>
      <c r="H76" s="66">
        <f>(1-$C$4/2)*(E76/IF(F76=0,1,F76))</f>
        <v/>
      </c>
      <c r="I76" s="66">
        <f>ABS(H76-B76)</f>
        <v/>
      </c>
      <c r="J76" s="66">
        <f>J75+(H76-B76)</f>
        <v/>
      </c>
      <c r="K76" s="66">
        <f>AVERAGE($I$70:I76)</f>
        <v/>
      </c>
      <c r="L76" s="66">
        <f>IF(K76=0,0,J76/K76)</f>
        <v/>
      </c>
      <c r="M76" s="64">
        <f>IF(OR(L76&gt;4,L76&lt;-4),"INTERVENE","OK")</f>
        <v/>
      </c>
      <c r="N76" s="67" t="n">
        <v>1</v>
      </c>
      <c r="O76" s="67" t="n">
        <v>1</v>
      </c>
      <c r="P76" s="68">
        <f>H76*N76*O76</f>
        <v/>
      </c>
      <c r="Q76" s="64">
        <f>IF(O76&lt;&gt;1,"SBA+Causal","SBA Only")</f>
        <v/>
      </c>
    </row>
    <row r="77" ht="16" customHeight="1">
      <c r="A77" s="64" t="inlineStr">
        <is>
          <t>Aug-25</t>
        </is>
      </c>
      <c r="B77" s="65" t="n">
        <v>0</v>
      </c>
      <c r="C77" s="64">
        <f>IF(B77&gt;0,1,0)</f>
        <v/>
      </c>
      <c r="D77" s="64" t="n">
        <v>4</v>
      </c>
      <c r="E77" s="66">
        <f>IF(B77&gt;0,$C$4*B77+(1-$C$4)*E76,E76)</f>
        <v/>
      </c>
      <c r="F77" s="66">
        <f>IF(B77&gt;0,$C$4*D77+(1-$C$4)*F76,F76)</f>
        <v/>
      </c>
      <c r="G77" s="66">
        <f>AVERAGE(B74:B76)</f>
        <v/>
      </c>
      <c r="H77" s="66">
        <f>(1-$C$4/2)*(E77/IF(F77=0,1,F77))</f>
        <v/>
      </c>
      <c r="I77" s="66">
        <f>ABS(H77-B77)</f>
        <v/>
      </c>
      <c r="J77" s="66">
        <f>J76+(H77-B77)</f>
        <v/>
      </c>
      <c r="K77" s="66">
        <f>AVERAGE($I$70:I77)</f>
        <v/>
      </c>
      <c r="L77" s="66">
        <f>IF(K77=0,0,J77/K77)</f>
        <v/>
      </c>
      <c r="M77" s="64">
        <f>IF(OR(L77&gt;4,L77&lt;-4),"INTERVENE","OK")</f>
        <v/>
      </c>
      <c r="N77" s="67" t="n">
        <v>1</v>
      </c>
      <c r="O77" s="67" t="n">
        <v>1</v>
      </c>
      <c r="P77" s="68">
        <f>H77*N77*O77</f>
        <v/>
      </c>
      <c r="Q77" s="64">
        <f>IF(O77&lt;&gt;1,"SBA+Causal","SBA Only")</f>
        <v/>
      </c>
    </row>
    <row r="78" ht="16" customHeight="1">
      <c r="A78" s="64" t="inlineStr">
        <is>
          <t>Sep-25</t>
        </is>
      </c>
      <c r="B78" s="65" t="n">
        <v>5</v>
      </c>
      <c r="C78" s="64">
        <f>IF(B78&gt;0,1,0)</f>
        <v/>
      </c>
      <c r="D78" s="64" t="n">
        <v>1</v>
      </c>
      <c r="E78" s="66">
        <f>IF(B78&gt;0,$C$4*B78+(1-$C$4)*E77,E77)</f>
        <v/>
      </c>
      <c r="F78" s="66">
        <f>IF(B78&gt;0,$C$4*D78+(1-$C$4)*F77,F77)</f>
        <v/>
      </c>
      <c r="G78" s="66">
        <f>AVERAGE(B75:B77)</f>
        <v/>
      </c>
      <c r="H78" s="66">
        <f>(1-$C$4/2)*(E78/IF(F78=0,1,F78))</f>
        <v/>
      </c>
      <c r="I78" s="66">
        <f>ABS(H78-B78)</f>
        <v/>
      </c>
      <c r="J78" s="66">
        <f>J77+(H78-B78)</f>
        <v/>
      </c>
      <c r="K78" s="66">
        <f>AVERAGE($I$70:I78)</f>
        <v/>
      </c>
      <c r="L78" s="66">
        <f>IF(K78=0,0,J78/K78)</f>
        <v/>
      </c>
      <c r="M78" s="64">
        <f>IF(OR(L78&gt;4,L78&lt;-4),"INTERVENE","OK")</f>
        <v/>
      </c>
      <c r="N78" s="67" t="n">
        <v>1</v>
      </c>
      <c r="O78" s="67" t="n">
        <v>1</v>
      </c>
      <c r="P78" s="68">
        <f>H78*N78*O78</f>
        <v/>
      </c>
      <c r="Q78" s="64">
        <f>IF(O78&lt;&gt;1,"SBA+Causal","SBA Only")</f>
        <v/>
      </c>
    </row>
    <row r="79" ht="16" customHeight="1">
      <c r="A79" s="64" t="inlineStr">
        <is>
          <t>Oct-25</t>
        </is>
      </c>
      <c r="B79" s="65" t="n">
        <v>0</v>
      </c>
      <c r="C79" s="64">
        <f>IF(B79&gt;0,1,0)</f>
        <v/>
      </c>
      <c r="D79" s="64" t="n">
        <v>2</v>
      </c>
      <c r="E79" s="66">
        <f>IF(B79&gt;0,$C$4*B79+(1-$C$4)*E78,E78)</f>
        <v/>
      </c>
      <c r="F79" s="66">
        <f>IF(B79&gt;0,$C$4*D79+(1-$C$4)*F78,F78)</f>
        <v/>
      </c>
      <c r="G79" s="66">
        <f>AVERAGE(B76:B78)</f>
        <v/>
      </c>
      <c r="H79" s="66">
        <f>(1-$C$4/2)*(E79/IF(F79=0,1,F79))</f>
        <v/>
      </c>
      <c r="I79" s="66">
        <f>ABS(H79-B79)</f>
        <v/>
      </c>
      <c r="J79" s="66">
        <f>J78+(H79-B79)</f>
        <v/>
      </c>
      <c r="K79" s="66">
        <f>AVERAGE($I$70:I79)</f>
        <v/>
      </c>
      <c r="L79" s="66">
        <f>IF(K79=0,0,J79/K79)</f>
        <v/>
      </c>
      <c r="M79" s="64">
        <f>IF(OR(L79&gt;4,L79&lt;-4),"INTERVENE","OK")</f>
        <v/>
      </c>
      <c r="N79" s="67" t="n">
        <v>1</v>
      </c>
      <c r="O79" s="67" t="n">
        <v>1</v>
      </c>
      <c r="P79" s="68">
        <f>H79*N79*O79</f>
        <v/>
      </c>
      <c r="Q79" s="64">
        <f>IF(O79&lt;&gt;1,"SBA+Causal","SBA Only")</f>
        <v/>
      </c>
    </row>
    <row r="80" ht="16" customHeight="1">
      <c r="A80" s="64" t="inlineStr">
        <is>
          <t>Nov-25</t>
        </is>
      </c>
      <c r="B80" s="65" t="n">
        <v>0</v>
      </c>
      <c r="C80" s="64">
        <f>IF(B80&gt;0,1,0)</f>
        <v/>
      </c>
      <c r="D80" s="64" t="n">
        <v>3</v>
      </c>
      <c r="E80" s="66">
        <f>IF(B80&gt;0,$C$4*B80+(1-$C$4)*E79,E79)</f>
        <v/>
      </c>
      <c r="F80" s="66">
        <f>IF(B80&gt;0,$C$4*D80+(1-$C$4)*F79,F79)</f>
        <v/>
      </c>
      <c r="G80" s="66">
        <f>AVERAGE(B77:B79)</f>
        <v/>
      </c>
      <c r="H80" s="66">
        <f>(1-$C$4/2)*(E80/IF(F80=0,1,F80))</f>
        <v/>
      </c>
      <c r="I80" s="66">
        <f>ABS(H80-B80)</f>
        <v/>
      </c>
      <c r="J80" s="66">
        <f>J79+(H80-B80)</f>
        <v/>
      </c>
      <c r="K80" s="66">
        <f>AVERAGE($I$70:I80)</f>
        <v/>
      </c>
      <c r="L80" s="66">
        <f>IF(K80=0,0,J80/K80)</f>
        <v/>
      </c>
      <c r="M80" s="64">
        <f>IF(OR(L80&gt;4,L80&lt;-4),"INTERVENE","OK")</f>
        <v/>
      </c>
      <c r="N80" s="67" t="n">
        <v>1</v>
      </c>
      <c r="O80" s="67" t="n">
        <v>1</v>
      </c>
      <c r="P80" s="68">
        <f>H80*N80*O80</f>
        <v/>
      </c>
      <c r="Q80" s="64">
        <f>IF(O80&lt;&gt;1,"SBA+Causal","SBA Only")</f>
        <v/>
      </c>
    </row>
    <row r="81" ht="16" customHeight="1">
      <c r="A81" s="64" t="inlineStr">
        <is>
          <t>Dec-25</t>
        </is>
      </c>
      <c r="B81" s="65" t="n">
        <v>3</v>
      </c>
      <c r="C81" s="64">
        <f>IF(B81&gt;0,1,0)</f>
        <v/>
      </c>
      <c r="D81" s="64" t="n">
        <v>1</v>
      </c>
      <c r="E81" s="66">
        <f>IF(B81&gt;0,$C$4*B81+(1-$C$4)*E80,E80)</f>
        <v/>
      </c>
      <c r="F81" s="66">
        <f>IF(B81&gt;0,$C$4*D81+(1-$C$4)*F80,F80)</f>
        <v/>
      </c>
      <c r="G81" s="66">
        <f>AVERAGE(B78:B80)</f>
        <v/>
      </c>
      <c r="H81" s="66">
        <f>(1-$C$4/2)*(E81/IF(F81=0,1,F81))</f>
        <v/>
      </c>
      <c r="I81" s="66">
        <f>ABS(H81-B81)</f>
        <v/>
      </c>
      <c r="J81" s="66">
        <f>J80+(H81-B81)</f>
        <v/>
      </c>
      <c r="K81" s="66">
        <f>AVERAGE($I$70:I81)</f>
        <v/>
      </c>
      <c r="L81" s="66">
        <f>IF(K81=0,0,J81/K81)</f>
        <v/>
      </c>
      <c r="M81" s="64">
        <f>IF(OR(L81&gt;4,L81&lt;-4),"INTERVENE","OK")</f>
        <v/>
      </c>
      <c r="N81" s="67" t="n">
        <v>1</v>
      </c>
      <c r="O81" s="67" t="n">
        <v>1</v>
      </c>
      <c r="P81" s="68">
        <f>H81*N81*O81</f>
        <v/>
      </c>
      <c r="Q81" s="64">
        <f>IF(O81&lt;&gt;1,"SBA+Causal","SBA Only")</f>
        <v/>
      </c>
    </row>
    <row r="85">
      <c r="A85" s="2" t="inlineStr">
        <is>
          <t>FLEET AGE MODIFIER LOOKUP TABLE</t>
        </is>
      </c>
      <c r="B85" s="3" t="n"/>
      <c r="C85" s="3" t="n"/>
      <c r="D85" s="4" t="n"/>
    </row>
    <row r="86">
      <c r="A86" s="69" t="inlineStr">
        <is>
          <t>Fleet Age (Years)</t>
        </is>
      </c>
      <c r="B86" s="69" t="inlineStr">
        <is>
          <t>Modifier</t>
        </is>
      </c>
    </row>
    <row r="87">
      <c r="A87" s="70" t="inlineStr">
        <is>
          <t>0-2</t>
        </is>
      </c>
      <c r="B87" s="70" t="n">
        <v>0.8</v>
      </c>
    </row>
    <row r="88">
      <c r="A88" s="70" t="inlineStr">
        <is>
          <t>3-4</t>
        </is>
      </c>
      <c r="B88" s="70" t="n">
        <v>1</v>
      </c>
    </row>
    <row r="89">
      <c r="A89" s="70" t="inlineStr">
        <is>
          <t>5-6</t>
        </is>
      </c>
      <c r="B89" s="70" t="n">
        <v>1.2</v>
      </c>
    </row>
    <row r="90">
      <c r="A90" s="70" t="inlineStr">
        <is>
          <t>7+</t>
        </is>
      </c>
      <c r="B90" s="70" t="n">
        <v>1.5</v>
      </c>
    </row>
  </sheetData>
  <mergeCells count="11">
    <mergeCell ref="A4:B4"/>
    <mergeCell ref="A8:Q8"/>
    <mergeCell ref="A1:Q1"/>
    <mergeCell ref="A53:Q53"/>
    <mergeCell ref="A3:D3"/>
    <mergeCell ref="A5:B5"/>
    <mergeCell ref="A38:Q38"/>
    <mergeCell ref="A68:Q68"/>
    <mergeCell ref="A85:D85"/>
    <mergeCell ref="A6:B6"/>
    <mergeCell ref="A23:Q23"/>
  </mergeCells>
  <conditionalFormatting sqref="L10:L21">
    <cfRule type="expression" priority="1" dxfId="1" stopIfTrue="0">
      <formula>ABS(L10)&gt;4</formula>
    </cfRule>
  </conditionalFormatting>
  <conditionalFormatting sqref="M10:M21">
    <cfRule type="expression" priority="2" dxfId="1" stopIfTrue="0">
      <formula>M10="INTERVENE"</formula>
    </cfRule>
  </conditionalFormatting>
  <conditionalFormatting sqref="L25:L36">
    <cfRule type="expression" priority="3" dxfId="1" stopIfTrue="0">
      <formula>ABS(L25)&gt;4</formula>
    </cfRule>
  </conditionalFormatting>
  <conditionalFormatting sqref="M25:M36">
    <cfRule type="expression" priority="4" dxfId="1" stopIfTrue="0">
      <formula>M25="INTERVENE"</formula>
    </cfRule>
  </conditionalFormatting>
  <conditionalFormatting sqref="L40:L51">
    <cfRule type="expression" priority="5" dxfId="1" stopIfTrue="0">
      <formula>ABS(L40)&gt;4</formula>
    </cfRule>
  </conditionalFormatting>
  <conditionalFormatting sqref="M40:M51">
    <cfRule type="expression" priority="6" dxfId="1" stopIfTrue="0">
      <formula>M40="INTERVENE"</formula>
    </cfRule>
  </conditionalFormatting>
  <conditionalFormatting sqref="L55:L66">
    <cfRule type="expression" priority="7" dxfId="1" stopIfTrue="0">
      <formula>ABS(L55)&gt;4</formula>
    </cfRule>
  </conditionalFormatting>
  <conditionalFormatting sqref="M55:M66">
    <cfRule type="expression" priority="8" dxfId="1" stopIfTrue="0">
      <formula>M55="INTERVENE"</formula>
    </cfRule>
  </conditionalFormatting>
  <conditionalFormatting sqref="L70:L81">
    <cfRule type="expression" priority="9" dxfId="1" stopIfTrue="0">
      <formula>ABS(L70)&gt;4</formula>
    </cfRule>
  </conditionalFormatting>
  <conditionalFormatting sqref="M70:M81">
    <cfRule type="expression" priority="10" dxfId="1" stopIfTrue="0">
      <formula>M70="INTERVENE"</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
  <sheetViews>
    <sheetView showGridLines="0"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18" customWidth="1" min="2" max="2"/>
    <col width="18" customWidth="1" min="3" max="3"/>
    <col width="18" customWidth="1" min="4" max="4"/>
    <col width="18" customWidth="1" min="5" max="5"/>
    <col width="20" customWidth="1" min="6" max="6"/>
    <col width="22" customWidth="1" min="7" max="7"/>
    <col width="24" customWidth="1" min="8" max="8"/>
  </cols>
  <sheetData>
    <row r="1" ht="30" customHeight="1">
      <c r="A1" s="60" t="inlineStr">
        <is>
          <t>ADVANCED SAFETY STOCK — Includes Lead Time Variability</t>
        </is>
      </c>
    </row>
    <row r="3" ht="20" customHeight="1">
      <c r="A3" s="71" t="inlineStr">
        <is>
          <t>FORMULA REFERENCE</t>
        </is>
      </c>
      <c r="B3" s="3" t="n"/>
      <c r="C3" s="3" t="n"/>
      <c r="D3" s="3" t="n"/>
      <c r="E3" s="3" t="n"/>
      <c r="F3" s="3" t="n"/>
      <c r="G3" s="3" t="n"/>
      <c r="H3" s="4" t="n"/>
    </row>
    <row r="4" ht="22" customHeight="1">
      <c r="A4" s="72" t="inlineStr">
        <is>
          <t>BLOCK A — Standard Formula:</t>
        </is>
      </c>
      <c r="B4" s="73" t="inlineStr">
        <is>
          <t>SS_standard = Z × σ_demand × SQRT(Lead_Time + Review_Period)</t>
        </is>
      </c>
      <c r="C4" s="3" t="n"/>
      <c r="D4" s="3" t="n"/>
      <c r="E4" s="3" t="n"/>
      <c r="F4" s="3" t="n"/>
      <c r="G4" s="3" t="n"/>
      <c r="H4" s="4" t="n"/>
    </row>
    <row r="5" ht="22" customHeight="1">
      <c r="A5" s="72" t="inlineStr">
        <is>
          <t>BLOCK B — Enhanced Formula (GPC Halberstadt Case):</t>
        </is>
      </c>
      <c r="B5" s="73" t="inlineStr">
        <is>
          <t>SS_enhanced = Z × SQRT( LT × σ_demand² + Avg_Demand² × σ_LT² )</t>
        </is>
      </c>
      <c r="C5" s="3" t="n"/>
      <c r="D5" s="3" t="n"/>
      <c r="E5" s="3" t="n"/>
      <c r="F5" s="3" t="n"/>
      <c r="G5" s="3" t="n"/>
      <c r="H5" s="4" t="n"/>
    </row>
    <row r="6" ht="22" customHeight="1">
      <c r="A6" s="72" t="inlineStr">
        <is>
          <t>Key Insight:</t>
        </is>
      </c>
      <c r="B6" s="73" t="inlineStr">
        <is>
          <t>Even with shorter LT, high LT variance can TRIPLE safety stock requirements</t>
        </is>
      </c>
      <c r="C6" s="3" t="n"/>
      <c r="D6" s="3" t="n"/>
      <c r="E6" s="3" t="n"/>
      <c r="F6" s="3" t="n"/>
      <c r="G6" s="3" t="n"/>
      <c r="H6" s="4" t="n"/>
    </row>
    <row r="8" ht="8" customHeight="1"/>
    <row r="9" ht="20" customHeight="1">
      <c r="A9" s="2" t="inlineStr">
        <is>
          <t>SCENARIO INPUTS (Blue cells = editable)</t>
        </is>
      </c>
      <c r="B9" s="3" t="n"/>
      <c r="C9" s="3" t="n"/>
      <c r="D9" s="3" t="n"/>
      <c r="E9" s="3" t="n"/>
      <c r="F9" s="3" t="n"/>
      <c r="G9" s="3" t="n"/>
      <c r="H9" s="4" t="n"/>
    </row>
    <row r="10" ht="36" customHeight="1">
      <c r="A10" s="9" t="inlineStr">
        <is>
          <t>Parameter</t>
        </is>
      </c>
      <c r="B10" s="9" t="inlineStr">
        <is>
          <t>Scenario 1
Japan (Stable)</t>
        </is>
      </c>
      <c r="C10" s="9" t="inlineStr">
        <is>
          <t>Scenario 2
GPC Halberstadt (Volatile)</t>
        </is>
      </c>
      <c r="D10" s="9" t="inlineStr">
        <is>
          <t>Scenario 3
Chennai/India (Medium)</t>
        </is>
      </c>
    </row>
    <row r="11" ht="18" customHeight="1">
      <c r="A11" s="61" t="inlineStr">
        <is>
          <t>Lead Time (days) — LT</t>
        </is>
      </c>
      <c r="B11" s="62" t="n">
        <v>45</v>
      </c>
      <c r="C11" s="62" t="n">
        <v>30</v>
      </c>
      <c r="D11" s="62" t="n">
        <v>21</v>
      </c>
    </row>
    <row r="12" ht="18" customHeight="1">
      <c r="A12" s="61" t="inlineStr">
        <is>
          <t>LT Std Dev (days) — σ_LT</t>
        </is>
      </c>
      <c r="B12" s="62" t="n">
        <v>2</v>
      </c>
      <c r="C12" s="62" t="n">
        <v>10</v>
      </c>
      <c r="D12" s="62" t="n">
        <v>3</v>
      </c>
    </row>
    <row r="13" ht="18" customHeight="1">
      <c r="A13" s="61" t="inlineStr">
        <is>
          <t>Avg Daily Demand (units) — D_avg</t>
        </is>
      </c>
      <c r="B13" s="62" t="n">
        <v>10</v>
      </c>
      <c r="C13" s="62" t="n">
        <v>10</v>
      </c>
      <c r="D13" s="62" t="n">
        <v>8</v>
      </c>
    </row>
    <row r="14" ht="18" customHeight="1">
      <c r="A14" s="61" t="inlineStr">
        <is>
          <t>Demand Std Dev (monthly) — σ_demand</t>
        </is>
      </c>
      <c r="B14" s="62" t="n">
        <v>3</v>
      </c>
      <c r="C14" s="62" t="n">
        <v>3</v>
      </c>
      <c r="D14" s="62" t="n">
        <v>2</v>
      </c>
    </row>
    <row r="15" ht="18" customHeight="1">
      <c r="A15" s="61" t="inlineStr">
        <is>
          <t>Z-Score (Service Level)</t>
        </is>
      </c>
      <c r="B15" s="62" t="n">
        <v>1.65</v>
      </c>
      <c r="C15" s="62" t="n">
        <v>1.65</v>
      </c>
      <c r="D15" s="62" t="n">
        <v>1.65</v>
      </c>
    </row>
    <row r="16" ht="18" customHeight="1">
      <c r="A16" s="61" t="inlineStr">
        <is>
          <t>Review Period (days) — R</t>
        </is>
      </c>
      <c r="B16" s="62" t="n">
        <v>7</v>
      </c>
      <c r="C16" s="62" t="n">
        <v>7</v>
      </c>
      <c r="D16" s="62" t="n">
        <v>7</v>
      </c>
    </row>
    <row r="18" ht="8" customHeight="1"/>
    <row r="19" ht="20" customHeight="1">
      <c r="A19" s="2" t="inlineStr">
        <is>
          <t>CALCULATED RESULTS — SS Standard vs SS Enhanced</t>
        </is>
      </c>
      <c r="B19" s="3" t="n"/>
      <c r="C19" s="3" t="n"/>
      <c r="D19" s="3" t="n"/>
      <c r="E19" s="3" t="n"/>
      <c r="F19" s="3" t="n"/>
      <c r="G19" s="3" t="n"/>
      <c r="H19" s="4" t="n"/>
    </row>
    <row r="20" ht="36" customHeight="1">
      <c r="A20" s="9" t="inlineStr">
        <is>
          <t>Calculation</t>
        </is>
      </c>
      <c r="B20" s="9" t="inlineStr">
        <is>
          <t>Formula Used</t>
        </is>
      </c>
      <c r="C20" s="9" t="inlineStr">
        <is>
          <t>Scenario 1
Japan</t>
        </is>
      </c>
      <c r="D20" s="9" t="inlineStr">
        <is>
          <t>Scenario 2
GPC Halberstadt</t>
        </is>
      </c>
      <c r="E20" s="9" t="inlineStr">
        <is>
          <t>Scenario 3
Chennai</t>
        </is>
      </c>
    </row>
    <row r="21" ht="20" customHeight="1">
      <c r="A21" s="61" t="inlineStr">
        <is>
          <t>SS Standard</t>
        </is>
      </c>
      <c r="B21" s="70">
        <f>Z × σ_d × SQRT(LT + R)</f>
        <v/>
      </c>
      <c r="C21" s="74">
        <f>B15*B14*SQRT(B11+B16)</f>
        <v/>
      </c>
      <c r="D21" s="74">
        <f>C15*C14*SQRT(C11+C16)</f>
        <v/>
      </c>
      <c r="E21" s="74">
        <f>D15*D14*SQRT(D11+D16)</f>
        <v/>
      </c>
    </row>
    <row r="22" ht="20" customHeight="1">
      <c r="A22" s="61" t="inlineStr">
        <is>
          <t>SS Enhanced</t>
        </is>
      </c>
      <c r="B22" s="70">
        <f>Z × SQRT(LT×σ_d² + D_avg²×σ_LT²)</f>
        <v/>
      </c>
      <c r="C22" s="75">
        <f>B15*SQRT(B11*B14^2+B13^2*B12^2)</f>
        <v/>
      </c>
      <c r="D22" s="75">
        <f>C15*SQRT(C11*C14^2+C13^2*C12^2)</f>
        <v/>
      </c>
      <c r="E22" s="75">
        <f>D15*SQRT(D11*D14^2+D13^2*D12^2)</f>
        <v/>
      </c>
    </row>
    <row r="23" ht="20" customHeight="1">
      <c r="A23" s="61" t="inlineStr">
        <is>
          <t>Delta (Enhanced - Standard)</t>
        </is>
      </c>
      <c r="B23" s="70" t="inlineStr">
        <is>
          <t>Additional units needed</t>
        </is>
      </c>
      <c r="C23" s="76">
        <f>C22-C21</f>
        <v/>
      </c>
      <c r="D23" s="76">
        <f>D22-D21</f>
        <v/>
      </c>
      <c r="E23" s="76">
        <f>E22-E21</f>
        <v/>
      </c>
    </row>
    <row r="24" ht="20" customHeight="1">
      <c r="A24" s="61" t="inlineStr">
        <is>
          <t>% Increase in SS</t>
        </is>
      </c>
      <c r="B24" s="70" t="inlineStr">
        <is>
          <t>(Enhanced/Standard)-1</t>
        </is>
      </c>
      <c r="C24" s="77">
        <f>IF(C21=0,0,(C22/C21)-1)</f>
        <v/>
      </c>
      <c r="D24" s="77">
        <f>IF(D21=0,0,(D22/D21)-1)</f>
        <v/>
      </c>
      <c r="E24" s="77">
        <f>IF(E21=0,0,(E22/E21)-1)</f>
        <v/>
      </c>
    </row>
    <row r="26" ht="8" customHeight="1"/>
    <row r="27" ht="70" customHeight="1">
      <c r="A27" s="78" t="inlineStr">
        <is>
          <t>FINANCE PUSHBACK REBUTTAL:
While Japan→Germany lead time drops 33% (45d→30d), LT variance TRIPLES (σ_LT: 2d→10d).
The enhanced formula shows SS must increase ~255% to maintain 95% fill rate during GPC Halberstadt transition.
Cutting safety stock during this transition would cause stockouts on high-runner AX/BX parts.</t>
        </is>
      </c>
      <c r="B27" s="79" t="n"/>
      <c r="C27" s="79" t="n"/>
      <c r="D27" s="79" t="n"/>
      <c r="E27" s="79" t="n"/>
      <c r="F27" s="79" t="n"/>
      <c r="G27" s="79" t="n"/>
      <c r="H27" s="80" t="n"/>
    </row>
  </sheetData>
  <mergeCells count="9">
    <mergeCell ref="A9:H9"/>
    <mergeCell ref="A3:H3"/>
    <mergeCell ref="B21"/>
    <mergeCell ref="B4:H4"/>
    <mergeCell ref="B6:H6"/>
    <mergeCell ref="A19:H19"/>
    <mergeCell ref="A1:H1"/>
    <mergeCell ref="A27:H27"/>
    <mergeCell ref="B5:H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9"/>
  <sheetViews>
    <sheetView showGridLines="0" workbookViewId="0">
      <pane ySplit="2" topLeftCell="A3" activePane="bottomLeft" state="frozen"/>
      <selection pane="bottomLeft" activeCell="A1" sqref="A1"/>
    </sheetView>
  </sheetViews>
  <sheetFormatPr baseColWidth="8" defaultRowHeight="15"/>
  <cols>
    <col width="28" customWidth="1" min="1" max="1"/>
    <col width="16" customWidth="1" min="2" max="2"/>
    <col width="20" customWidth="1" min="3" max="3"/>
    <col width="24" customWidth="1" min="4" max="4"/>
    <col width="24" customWidth="1" min="5" max="5"/>
    <col width="18" customWidth="1" min="6" max="6"/>
  </cols>
  <sheetData>
    <row r="1" ht="30" customHeight="1">
      <c r="A1" s="60" t="inlineStr">
        <is>
          <t>S&amp;OP CONFLICT RESOLUTION — Service Level vs Working Capital</t>
        </is>
      </c>
    </row>
    <row r="3">
      <c r="A3" s="2" t="inlineStr">
        <is>
          <t>INPUTS</t>
        </is>
      </c>
      <c r="B3" s="4" t="n"/>
    </row>
    <row r="4" ht="18" customHeight="1">
      <c r="A4" s="61" t="inlineStr">
        <is>
          <t>Current SS Value (AED)</t>
        </is>
      </c>
      <c r="B4" s="81" t="n">
        <v>10000000</v>
      </c>
    </row>
    <row r="5" ht="18" customHeight="1">
      <c r="A5" s="61" t="inlineStr">
        <is>
          <t>Current Service Level</t>
        </is>
      </c>
      <c r="B5" s="82" t="n">
        <v>0.95</v>
      </c>
    </row>
    <row r="7">
      <c r="A7" s="2" t="inlineStr">
        <is>
          <t>SERVICE LEVEL TRADE-OFF TABLE</t>
        </is>
      </c>
      <c r="B7" s="3" t="n"/>
      <c r="C7" s="3" t="n"/>
      <c r="D7" s="3" t="n"/>
      <c r="E7" s="3" t="n"/>
      <c r="F7" s="4" t="n"/>
    </row>
    <row r="8" ht="36" customHeight="1">
      <c r="A8" s="83" t="inlineStr">
        <is>
          <t>Service Level</t>
        </is>
      </c>
      <c r="B8" s="83" t="inlineStr">
        <is>
          <t>Z-Score
(NORM.S.INV)</t>
        </is>
      </c>
      <c r="C8" s="83" t="inlineStr">
        <is>
          <t>SS Multiplier
vs 95% Base</t>
        </is>
      </c>
      <c r="D8" s="83" t="inlineStr">
        <is>
          <t>SS Value (AED)
at this SL</t>
        </is>
      </c>
      <c r="E8" s="83" t="inlineStr">
        <is>
          <t>Additional Working
Capital vs 95% (AED)</t>
        </is>
      </c>
      <c r="F8" s="83" t="inlineStr">
        <is>
          <t>Recommendation</t>
        </is>
      </c>
    </row>
    <row r="9" ht="18" customHeight="1">
      <c r="A9" s="84" t="n">
        <v>0.8</v>
      </c>
      <c r="B9" s="85">
        <f>NORM.S.INV(0.8)</f>
        <v/>
      </c>
      <c r="C9" s="86">
        <f>NORM.S.INV(0.8)/NORM.S.INV(0.95)</f>
        <v/>
      </c>
      <c r="D9" s="87">
        <f>$B$4*C9</f>
        <v/>
      </c>
      <c r="E9" s="88">
        <f>D9-$D$12</f>
        <v/>
      </c>
      <c r="F9" s="89" t="inlineStr">
        <is>
          <t>Cost-only parts (CZ SMOB candidates)</t>
        </is>
      </c>
    </row>
    <row r="10" ht="18" customHeight="1">
      <c r="A10" s="90" t="n">
        <v>0.85</v>
      </c>
      <c r="B10" s="91">
        <f>NORM.S.INV(0.85)</f>
        <v/>
      </c>
      <c r="C10" s="92">
        <f>NORM.S.INV(0.85)/NORM.S.INV(0.95)</f>
        <v/>
      </c>
      <c r="D10" s="93">
        <f>$B$4*C10</f>
        <v/>
      </c>
      <c r="E10" s="94">
        <f>D10-$D$12</f>
        <v/>
      </c>
      <c r="F10" s="95" t="inlineStr">
        <is>
          <t>Slow movers (CZ, CY low value)</t>
        </is>
      </c>
    </row>
    <row r="11" ht="18" customHeight="1">
      <c r="A11" s="84" t="n">
        <v>0.9</v>
      </c>
      <c r="B11" s="85">
        <f>NORM.S.INV(0.9)</f>
        <v/>
      </c>
      <c r="C11" s="86">
        <f>NORM.S.INV(0.9)/NORM.S.INV(0.95)</f>
        <v/>
      </c>
      <c r="D11" s="87">
        <f>$B$4*C11</f>
        <v/>
      </c>
      <c r="E11" s="88">
        <f>D11-$D$12</f>
        <v/>
      </c>
      <c r="F11" s="89" t="inlineStr">
        <is>
          <t>AZ/BZ/CX/CY parts</t>
        </is>
      </c>
    </row>
    <row r="12" ht="18" customHeight="1">
      <c r="A12" s="90" t="n">
        <v>0.95</v>
      </c>
      <c r="B12" s="91">
        <f>NORM.S.INV(0.95)</f>
        <v/>
      </c>
      <c r="C12" s="92">
        <f>NORM.S.INV(0.95)/NORM.S.INV(0.95)</f>
        <v/>
      </c>
      <c r="D12" s="93">
        <f>$B$4*C12</f>
        <v/>
      </c>
      <c r="E12" s="94" t="n">
        <v>0</v>
      </c>
      <c r="F12" s="95" t="inlineStr">
        <is>
          <t>BASE — AY/BY/AX standard</t>
        </is>
      </c>
    </row>
    <row r="13" ht="18" customHeight="1">
      <c r="A13" s="84" t="n">
        <v>0.98</v>
      </c>
      <c r="B13" s="85">
        <f>NORM.S.INV(0.98)</f>
        <v/>
      </c>
      <c r="C13" s="86">
        <f>NORM.S.INV(0.98)/NORM.S.INV(0.95)</f>
        <v/>
      </c>
      <c r="D13" s="87">
        <f>$B$4*C13</f>
        <v/>
      </c>
      <c r="E13" s="88">
        <f>D13-$D$12</f>
        <v/>
      </c>
      <c r="F13" s="89" t="inlineStr">
        <is>
          <t>AX/BX critical runners</t>
        </is>
      </c>
    </row>
    <row r="14" ht="18" customHeight="1">
      <c r="A14" s="90" t="n">
        <v>0.99</v>
      </c>
      <c r="B14" s="91">
        <f>NORM.S.INV(0.99)</f>
        <v/>
      </c>
      <c r="C14" s="92">
        <f>NORM.S.INV(0.99)/NORM.S.INV(0.95)</f>
        <v/>
      </c>
      <c r="D14" s="93">
        <f>$B$4*C14</f>
        <v/>
      </c>
      <c r="E14" s="94">
        <f>D14-$D$12</f>
        <v/>
      </c>
      <c r="F14" s="95" t="inlineStr">
        <is>
          <t>Emergency/safety critical</t>
        </is>
      </c>
    </row>
    <row r="15" ht="18" customHeight="1">
      <c r="A15" s="84" t="n">
        <v>0.995</v>
      </c>
      <c r="B15" s="85">
        <f>NORM.S.INV(0.995)</f>
        <v/>
      </c>
      <c r="C15" s="86">
        <f>NORM.S.INV(0.995)/NORM.S.INV(0.95)</f>
        <v/>
      </c>
      <c r="D15" s="87">
        <f>$B$4*C15</f>
        <v/>
      </c>
      <c r="E15" s="88">
        <f>D15-$D$12</f>
        <v/>
      </c>
      <c r="F15" s="89" t="inlineStr">
        <is>
          <t>VOR-only spec parts</t>
        </is>
      </c>
    </row>
    <row r="17" ht="20" customHeight="1">
      <c r="A17" s="2" t="inlineStr">
        <is>
          <t>PROPOSED S&amp;OP COMPROMISE — BY ABC-XYZ CLASS</t>
        </is>
      </c>
      <c r="B17" s="3" t="n"/>
      <c r="C17" s="3" t="n"/>
      <c r="D17" s="3" t="n"/>
      <c r="E17" s="3" t="n"/>
      <c r="F17" s="4" t="n"/>
    </row>
    <row r="18" ht="20" customHeight="1">
      <c r="A18" s="83" t="inlineStr">
        <is>
          <t>ABC-XYZ Class</t>
        </is>
      </c>
      <c r="B18" s="83" t="inlineStr">
        <is>
          <t>Target SL</t>
        </is>
      </c>
      <c r="C18" s="83" t="inlineStr">
        <is>
          <t>Z-Score</t>
        </is>
      </c>
      <c r="D18" s="83" t="inlineStr">
        <is>
          <t>Rationale</t>
        </is>
      </c>
      <c r="E18" s="83" t="inlineStr">
        <is>
          <t>Est SS (AED)</t>
        </is>
      </c>
      <c r="F18" s="83" t="inlineStr">
        <is>
          <t>vs 99% Blanket</t>
        </is>
      </c>
    </row>
    <row r="19" ht="20" customHeight="1">
      <c r="A19" s="96" t="inlineStr">
        <is>
          <t>AX / BX (Critical Fast Movers)</t>
        </is>
      </c>
      <c r="B19" s="97" t="n">
        <v>0.98</v>
      </c>
      <c r="C19" s="85">
        <f>NORM.S.INV(0.98)</f>
        <v/>
      </c>
      <c r="D19" s="89" t="inlineStr">
        <is>
          <t>High value, stable demand — justify premium SL</t>
        </is>
      </c>
      <c r="E19" s="87">
        <f>$B$4*NORM.S.INV(0.98)/NORM.S.INV(0.95)</f>
        <v/>
      </c>
      <c r="F19" s="98">
        <f>E19-$B$4*NORM.S.INV(0.99)/NORM.S.INV(0.95)</f>
        <v/>
      </c>
    </row>
    <row r="20" ht="20" customHeight="1">
      <c r="A20" s="99" t="inlineStr">
        <is>
          <t>AY / BY (Variable Fast Movers)</t>
        </is>
      </c>
      <c r="B20" s="100" t="n">
        <v>0.95</v>
      </c>
      <c r="C20" s="91">
        <f>NORM.S.INV(0.95)</f>
        <v/>
      </c>
      <c r="D20" s="95" t="inlineStr">
        <is>
          <t>Standard service level baseline</t>
        </is>
      </c>
      <c r="E20" s="93">
        <f>$B$4</f>
        <v/>
      </c>
      <c r="F20" s="98">
        <f>E20-$B$4*NORM.S.INV(0.99)/NORM.S.INV(0.95)</f>
        <v/>
      </c>
    </row>
    <row r="21" ht="20" customHeight="1">
      <c r="A21" s="96" t="inlineStr">
        <is>
          <t>AZ / BZ (Intermittent High Value)</t>
        </is>
      </c>
      <c r="B21" s="97" t="n">
        <v>0.9</v>
      </c>
      <c r="C21" s="85">
        <f>NORM.S.INV(0.90)</f>
        <v/>
      </c>
      <c r="D21" s="89" t="inlineStr">
        <is>
          <t>Demand too irregular for high SS</t>
        </is>
      </c>
      <c r="E21" s="87">
        <f>$B$4*NORM.S.INV(0.90)/NORM.S.INV(0.95)</f>
        <v/>
      </c>
      <c r="F21" s="98">
        <f>E21-$B$4*NORM.S.INV(0.99)/NORM.S.INV(0.95)</f>
        <v/>
      </c>
    </row>
    <row r="22" ht="20" customHeight="1">
      <c r="A22" s="99" t="inlineStr">
        <is>
          <t>CX / CY (Stable Low Value)</t>
        </is>
      </c>
      <c r="B22" s="100" t="n">
        <v>0.9</v>
      </c>
      <c r="C22" s="91">
        <f>NORM.S.INV(0.90)</f>
        <v/>
      </c>
      <c r="D22" s="95" t="inlineStr">
        <is>
          <t>Low risk — reduce inventory carrying cost</t>
        </is>
      </c>
      <c r="E22" s="93">
        <f>$B$4*NORM.S.INV(0.90)/NORM.S.INV(0.95)</f>
        <v/>
      </c>
      <c r="F22" s="98">
        <f>E22-$B$4*NORM.S.INV(0.99)/NORM.S.INV(0.95)</f>
        <v/>
      </c>
    </row>
    <row r="23" ht="20" customHeight="1">
      <c r="A23" s="96" t="inlineStr">
        <is>
          <t>CZ (SMOB Candidates)</t>
        </is>
      </c>
      <c r="B23" s="97" t="n">
        <v>0.85</v>
      </c>
      <c r="C23" s="85">
        <f>NORM.S.INV(0.85)</f>
        <v/>
      </c>
      <c r="D23" s="89" t="inlineStr">
        <is>
          <t>Disposition target — minimize SS</t>
        </is>
      </c>
      <c r="E23" s="87">
        <f>$B$4*NORM.S.INV(0.85)/NORM.S.INV(0.95)</f>
        <v/>
      </c>
      <c r="F23" s="98">
        <f>E23-$B$4*NORM.S.INV(0.99)/NORM.S.INV(0.95)</f>
        <v/>
      </c>
    </row>
    <row r="25" ht="8" customHeight="1"/>
    <row r="26" ht="20" customHeight="1">
      <c r="A26" s="101" t="inlineStr">
        <is>
          <t>BLENDED WORKING CAPITAL SAVINGS vs BLANKET 99% APPROACH</t>
        </is>
      </c>
    </row>
    <row r="27" ht="20" customHeight="1">
      <c r="A27" s="102" t="inlineStr">
        <is>
          <t>Total SS under proposed tiered approach (AED):</t>
        </is>
      </c>
      <c r="D27" s="103">
        <f>SUM(E19:E23)</f>
        <v/>
      </c>
    </row>
    <row r="28" ht="20" customHeight="1">
      <c r="A28" s="102" t="inlineStr">
        <is>
          <t>Total SS under blanket 99% (AED):</t>
        </is>
      </c>
      <c r="D28" s="104">
        <f>$B$4*NORM.S.INV(0.99)/NORM.S.INV(0.95)*5</f>
        <v/>
      </c>
    </row>
    <row r="29" ht="20" customHeight="1">
      <c r="A29" s="105" t="inlineStr">
        <is>
          <t>Working Capital Released (AED):</t>
        </is>
      </c>
      <c r="D29" s="106">
        <f>D28-D27</f>
        <v/>
      </c>
    </row>
  </sheetData>
  <mergeCells count="11">
    <mergeCell ref="A28:C28"/>
    <mergeCell ref="D28:F28"/>
    <mergeCell ref="D29:F29"/>
    <mergeCell ref="D27:F27"/>
    <mergeCell ref="A1:F1"/>
    <mergeCell ref="A27:C27"/>
    <mergeCell ref="A17:F17"/>
    <mergeCell ref="A26:F26"/>
    <mergeCell ref="A3:B3"/>
    <mergeCell ref="A7:F7"/>
    <mergeCell ref="A29:C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8"/>
  <sheetViews>
    <sheetView showGridLines="0" workbookViewId="0">
      <pane ySplit="2" topLeftCell="A3" activePane="bottomLeft" state="frozen"/>
      <selection pane="bottomLeft" activeCell="A1" sqref="A1"/>
    </sheetView>
  </sheetViews>
  <sheetFormatPr baseColWidth="8" defaultRowHeight="15"/>
  <cols>
    <col width="14" customWidth="1" min="1" max="1"/>
    <col width="26" customWidth="1" min="2" max="2"/>
    <col width="16" customWidth="1" min="3" max="3"/>
    <col width="12" customWidth="1" min="4" max="4"/>
    <col width="14" customWidth="1" min="5" max="5"/>
    <col width="16" customWidth="1" min="6" max="6"/>
    <col width="18" customWidth="1" min="7" max="7"/>
    <col width="22" customWidth="1" min="8" max="8"/>
    <col width="12" customWidth="1" min="9" max="9"/>
    <col width="20" customWidth="1" min="10" max="10"/>
    <col width="16" customWidth="1" min="11" max="11"/>
  </cols>
  <sheetData>
    <row r="1" ht="28" customHeight="1">
      <c r="A1" s="60" t="inlineStr">
        <is>
          <t>SMOB DISPOSITION PLAN — Slow Moving &amp; Obsolete Stock</t>
        </is>
      </c>
    </row>
    <row r="2" ht="22" customHeight="1">
      <c r="A2" s="101" t="inlineStr">
        <is>
          <t>Current SMOB = 18% of AED 38M portfolio = AED 6.84M locked capital  |  Target: &lt;5% within 36 months</t>
        </is>
      </c>
    </row>
    <row r="3" ht="18" customHeight="1">
      <c r="A3" s="107" t="inlineStr">
        <is>
          <t>BUNDLE (20% discount with fast-moving service kits) — 8 parts</t>
        </is>
      </c>
    </row>
    <row r="4" ht="18" customHeight="1">
      <c r="A4" s="108" t="inlineStr">
        <is>
          <t>ROTATE (offer to 58 MEA distributors, amnesty swap) — 10 parts</t>
        </is>
      </c>
    </row>
    <row r="5" ht="18" customHeight="1">
      <c r="A5" s="109" t="inlineStr">
        <is>
          <t>SCRAP / WRITE-OFF (holding cost &gt; recovery value) — 7 parts</t>
        </is>
      </c>
    </row>
    <row r="7" ht="36" customHeight="1">
      <c r="A7" s="18" t="inlineStr">
        <is>
          <t>Part #</t>
        </is>
      </c>
      <c r="B7" s="18" t="inlineStr">
        <is>
          <t>Description</t>
        </is>
      </c>
      <c r="C7" s="18" t="inlineStr">
        <is>
          <t>Model</t>
        </is>
      </c>
      <c r="D7" s="18" t="inlineStr">
        <is>
          <t>Stock Qty</t>
        </is>
      </c>
      <c r="E7" s="18" t="inlineStr">
        <is>
          <t>Unit Cost (AED)</t>
        </is>
      </c>
      <c r="F7" s="18" t="inlineStr">
        <is>
          <t>Total Value (AED)</t>
        </is>
      </c>
      <c r="G7" s="18" t="inlineStr">
        <is>
          <t>Months No Movement</t>
        </is>
      </c>
      <c r="H7" s="18" t="inlineStr">
        <is>
          <t>Recommended Action</t>
        </is>
      </c>
      <c r="I7" s="18" t="inlineStr">
        <is>
          <t>Discount %</t>
        </is>
      </c>
      <c r="J7" s="18" t="inlineStr">
        <is>
          <t>Expected Recovery (AED)</t>
        </is>
      </c>
      <c r="K7" s="18" t="inlineStr">
        <is>
          <t>Write-Down (AED)</t>
        </is>
      </c>
    </row>
    <row r="8" ht="16" customHeight="1">
      <c r="A8" s="110" t="inlineStr">
        <is>
          <t>FUSO-TIM-028</t>
        </is>
      </c>
      <c r="B8" s="110" t="inlineStr">
        <is>
          <t>Timing Chain Kit</t>
        </is>
      </c>
      <c r="C8" s="110" t="inlineStr">
        <is>
          <t>Super Great V</t>
        </is>
      </c>
      <c r="D8" s="110" t="n">
        <v>18</v>
      </c>
      <c r="E8" s="111" t="n">
        <v>2800</v>
      </c>
      <c r="F8" s="111">
        <f>D8*E8</f>
        <v/>
      </c>
      <c r="G8" s="112" t="n">
        <v>18</v>
      </c>
      <c r="H8" s="110" t="inlineStr">
        <is>
          <t>SCRAP</t>
        </is>
      </c>
      <c r="I8" s="113" t="n">
        <v>0</v>
      </c>
      <c r="J8" s="114" t="n">
        <v>0</v>
      </c>
      <c r="K8" s="114">
        <f>F8-J8</f>
        <v/>
      </c>
    </row>
    <row r="9" ht="16" customHeight="1">
      <c r="A9" s="110" t="inlineStr">
        <is>
          <t>FUSO-PIS-030</t>
        </is>
      </c>
      <c r="B9" s="110" t="inlineStr">
        <is>
          <t>Piston Ring Set</t>
        </is>
      </c>
      <c r="C9" s="110" t="inlineStr">
        <is>
          <t>Super Great V</t>
        </is>
      </c>
      <c r="D9" s="110" t="n">
        <v>12</v>
      </c>
      <c r="E9" s="111" t="n">
        <v>3200</v>
      </c>
      <c r="F9" s="111">
        <f>D9*E9</f>
        <v/>
      </c>
      <c r="G9" s="112" t="n">
        <v>16</v>
      </c>
      <c r="H9" s="110" t="inlineStr">
        <is>
          <t>SCRAP</t>
        </is>
      </c>
      <c r="I9" s="113" t="n">
        <v>0</v>
      </c>
      <c r="J9" s="114" t="n">
        <v>0</v>
      </c>
      <c r="K9" s="114">
        <f>F9-J9</f>
        <v/>
      </c>
    </row>
    <row r="10" ht="16" customHeight="1">
      <c r="A10" s="115" t="inlineStr">
        <is>
          <t>FUSO-DPF-041</t>
        </is>
      </c>
      <c r="B10" s="115" t="inlineStr">
        <is>
          <t>DPF Filter</t>
        </is>
      </c>
      <c r="C10" s="115" t="inlineStr">
        <is>
          <t>Super Great V</t>
        </is>
      </c>
      <c r="D10" s="115" t="n">
        <v>15</v>
      </c>
      <c r="E10" s="116" t="n">
        <v>4200</v>
      </c>
      <c r="F10" s="116">
        <f>D10*E10</f>
        <v/>
      </c>
      <c r="G10" s="117" t="n">
        <v>14</v>
      </c>
      <c r="H10" s="115" t="inlineStr">
        <is>
          <t>BUNDLE</t>
        </is>
      </c>
      <c r="I10" s="118" t="n">
        <v>0.2</v>
      </c>
      <c r="J10" s="119">
        <f>F10*(1-I10)</f>
        <v/>
      </c>
      <c r="K10" s="119">
        <f>F10-J10</f>
        <v/>
      </c>
    </row>
    <row r="11" ht="16" customHeight="1">
      <c r="A11" s="110" t="inlineStr">
        <is>
          <t>FUSO-SCR-043</t>
        </is>
      </c>
      <c r="B11" s="110" t="inlineStr">
        <is>
          <t>SCR Catalyst</t>
        </is>
      </c>
      <c r="C11" s="110" t="inlineStr">
        <is>
          <t>Super Great V</t>
        </is>
      </c>
      <c r="D11" s="110" t="n">
        <v>10</v>
      </c>
      <c r="E11" s="111" t="n">
        <v>3600</v>
      </c>
      <c r="F11" s="111">
        <f>D11*E11</f>
        <v/>
      </c>
      <c r="G11" s="112" t="n">
        <v>15</v>
      </c>
      <c r="H11" s="110" t="inlineStr">
        <is>
          <t>SCRAP</t>
        </is>
      </c>
      <c r="I11" s="113" t="n">
        <v>0</v>
      </c>
      <c r="J11" s="114" t="n">
        <v>0</v>
      </c>
      <c r="K11" s="114">
        <f>F11-J11</f>
        <v/>
      </c>
    </row>
    <row r="12" ht="16" customHeight="1">
      <c r="A12" s="120" t="inlineStr">
        <is>
          <t>FUSO-CAM-026</t>
        </is>
      </c>
      <c r="B12" s="120" t="inlineStr">
        <is>
          <t>Camshaft Bearing</t>
        </is>
      </c>
      <c r="C12" s="120" t="inlineStr">
        <is>
          <t>Super Great V</t>
        </is>
      </c>
      <c r="D12" s="120" t="n">
        <v>20</v>
      </c>
      <c r="E12" s="121" t="n">
        <v>1200</v>
      </c>
      <c r="F12" s="121">
        <f>D12*E12</f>
        <v/>
      </c>
      <c r="G12" s="122" t="n">
        <v>12</v>
      </c>
      <c r="H12" s="120" t="inlineStr">
        <is>
          <t>ROTATE</t>
        </is>
      </c>
      <c r="I12" s="123" t="n">
        <v>0.15</v>
      </c>
      <c r="J12" s="124">
        <f>F12*(1-I12)</f>
        <v/>
      </c>
      <c r="K12" s="124">
        <f>F12-J12</f>
        <v/>
      </c>
    </row>
    <row r="13" ht="16" customHeight="1">
      <c r="A13" s="115" t="inlineStr">
        <is>
          <t>FUSO-VLV-029</t>
        </is>
      </c>
      <c r="B13" s="115" t="inlineStr">
        <is>
          <t>Valve Cover Gasket</t>
        </is>
      </c>
      <c r="C13" s="115" t="inlineStr">
        <is>
          <t>Super Great V</t>
        </is>
      </c>
      <c r="D13" s="115" t="n">
        <v>35</v>
      </c>
      <c r="E13" s="116" t="n">
        <v>420</v>
      </c>
      <c r="F13" s="116">
        <f>D13*E13</f>
        <v/>
      </c>
      <c r="G13" s="117" t="n">
        <v>13</v>
      </c>
      <c r="H13" s="115" t="inlineStr">
        <is>
          <t>BUNDLE</t>
        </is>
      </c>
      <c r="I13" s="118" t="n">
        <v>0.2</v>
      </c>
      <c r="J13" s="119">
        <f>F13*(1-I13)</f>
        <v/>
      </c>
      <c r="K13" s="119">
        <f>F13-J13</f>
        <v/>
      </c>
    </row>
    <row r="14" ht="16" customHeight="1">
      <c r="A14" s="120" t="inlineStr">
        <is>
          <t>FUSO-TRB-021</t>
        </is>
      </c>
      <c r="B14" s="120" t="inlineStr">
        <is>
          <t>Turbocharger Assy</t>
        </is>
      </c>
      <c r="C14" s="120" t="inlineStr">
        <is>
          <t>Super Great V</t>
        </is>
      </c>
      <c r="D14" s="120" t="n">
        <v>8</v>
      </c>
      <c r="E14" s="121" t="n">
        <v>3800</v>
      </c>
      <c r="F14" s="121">
        <f>D14*E14</f>
        <v/>
      </c>
      <c r="G14" s="122" t="n">
        <v>14</v>
      </c>
      <c r="H14" s="120" t="inlineStr">
        <is>
          <t>ROTATE</t>
        </is>
      </c>
      <c r="I14" s="123" t="n">
        <v>0.15</v>
      </c>
      <c r="J14" s="124">
        <f>F14*(1-I14)</f>
        <v/>
      </c>
      <c r="K14" s="124">
        <f>F14-J14</f>
        <v/>
      </c>
    </row>
    <row r="15" ht="16" customHeight="1">
      <c r="A15" s="120" t="inlineStr">
        <is>
          <t>FUSO-DRV-022</t>
        </is>
      </c>
      <c r="B15" s="120" t="inlineStr">
        <is>
          <t>Drive Shaft Front</t>
        </is>
      </c>
      <c r="C15" s="120" t="inlineStr">
        <is>
          <t>Super Great V</t>
        </is>
      </c>
      <c r="D15" s="120" t="n">
        <v>6</v>
      </c>
      <c r="E15" s="121" t="n">
        <v>2200</v>
      </c>
      <c r="F15" s="121">
        <f>D15*E15</f>
        <v/>
      </c>
      <c r="G15" s="122" t="n">
        <v>16</v>
      </c>
      <c r="H15" s="120" t="inlineStr">
        <is>
          <t>ROTATE</t>
        </is>
      </c>
      <c r="I15" s="123" t="n">
        <v>0.15</v>
      </c>
      <c r="J15" s="124">
        <f>F15*(1-I15)</f>
        <v/>
      </c>
      <c r="K15" s="124">
        <f>F15-J15</f>
        <v/>
      </c>
    </row>
    <row r="16" ht="16" customHeight="1">
      <c r="A16" s="110" t="inlineStr">
        <is>
          <t>FUSO-ACP-023</t>
        </is>
      </c>
      <c r="B16" s="110" t="inlineStr">
        <is>
          <t>A/C Compressor</t>
        </is>
      </c>
      <c r="C16" s="110" t="inlineStr">
        <is>
          <t>Super Great V</t>
        </is>
      </c>
      <c r="D16" s="110" t="n">
        <v>9</v>
      </c>
      <c r="E16" s="111" t="n">
        <v>2600</v>
      </c>
      <c r="F16" s="111">
        <f>D16*E16</f>
        <v/>
      </c>
      <c r="G16" s="112" t="n">
        <v>15</v>
      </c>
      <c r="H16" s="110" t="inlineStr">
        <is>
          <t>SCRAP</t>
        </is>
      </c>
      <c r="I16" s="113" t="n">
        <v>0</v>
      </c>
      <c r="J16" s="114" t="n">
        <v>0</v>
      </c>
      <c r="K16" s="114">
        <f>F16-J16</f>
        <v/>
      </c>
    </row>
    <row r="17" ht="16" customHeight="1">
      <c r="A17" s="115" t="inlineStr">
        <is>
          <t>FUSO-GKT-039</t>
        </is>
      </c>
      <c r="B17" s="115" t="inlineStr">
        <is>
          <t>Rocker Cover Gasket</t>
        </is>
      </c>
      <c r="C17" s="115" t="inlineStr">
        <is>
          <t>Super Great V</t>
        </is>
      </c>
      <c r="D17" s="115" t="n">
        <v>40</v>
      </c>
      <c r="E17" s="116" t="n">
        <v>280</v>
      </c>
      <c r="F17" s="116">
        <f>D17*E17</f>
        <v/>
      </c>
      <c r="G17" s="117" t="n">
        <v>12</v>
      </c>
      <c r="H17" s="115" t="inlineStr">
        <is>
          <t>BUNDLE</t>
        </is>
      </c>
      <c r="I17" s="118" t="n">
        <v>0.2</v>
      </c>
      <c r="J17" s="119">
        <f>F17*(1-I17)</f>
        <v/>
      </c>
      <c r="K17" s="119">
        <f>F17-J17</f>
        <v/>
      </c>
    </row>
    <row r="18" ht="16" customHeight="1">
      <c r="A18" s="120" t="inlineStr">
        <is>
          <t>FUSO-NOX-042</t>
        </is>
      </c>
      <c r="B18" s="120" t="inlineStr">
        <is>
          <t>NOx Sensor</t>
        </is>
      </c>
      <c r="C18" s="120" t="inlineStr">
        <is>
          <t>Super Great V</t>
        </is>
      </c>
      <c r="D18" s="120" t="n">
        <v>22</v>
      </c>
      <c r="E18" s="121" t="n">
        <v>780</v>
      </c>
      <c r="F18" s="121">
        <f>D18*E18</f>
        <v/>
      </c>
      <c r="G18" s="122" t="n">
        <v>13</v>
      </c>
      <c r="H18" s="120" t="inlineStr">
        <is>
          <t>ROTATE</t>
        </is>
      </c>
      <c r="I18" s="123" t="n">
        <v>0.15</v>
      </c>
      <c r="J18" s="124">
        <f>F18*(1-I18)</f>
        <v/>
      </c>
      <c r="K18" s="124">
        <f>F18-J18</f>
        <v/>
      </c>
    </row>
    <row r="19" ht="16" customHeight="1">
      <c r="A19" s="115" t="inlineStr">
        <is>
          <t>FUSO-OPS-027</t>
        </is>
      </c>
      <c r="B19" s="115" t="inlineStr">
        <is>
          <t>Oil Pan Gasket</t>
        </is>
      </c>
      <c r="C19" s="115" t="inlineStr">
        <is>
          <t>Super Great V</t>
        </is>
      </c>
      <c r="D19" s="115" t="n">
        <v>28</v>
      </c>
      <c r="E19" s="116" t="n">
        <v>380</v>
      </c>
      <c r="F19" s="116">
        <f>D19*E19</f>
        <v/>
      </c>
      <c r="G19" s="117" t="n">
        <v>14</v>
      </c>
      <c r="H19" s="115" t="inlineStr">
        <is>
          <t>BUNDLE</t>
        </is>
      </c>
      <c r="I19" s="118" t="n">
        <v>0.2</v>
      </c>
      <c r="J19" s="119">
        <f>F19*(1-I19)</f>
        <v/>
      </c>
      <c r="K19" s="119">
        <f>F19-J19</f>
        <v/>
      </c>
    </row>
    <row r="20" ht="16" customHeight="1">
      <c r="A20" s="120" t="inlineStr">
        <is>
          <t>FUSO-HDG-024</t>
        </is>
      </c>
      <c r="B20" s="120" t="inlineStr">
        <is>
          <t>Head Gasket Set</t>
        </is>
      </c>
      <c r="C20" s="120" t="inlineStr">
        <is>
          <t>Super Great V</t>
        </is>
      </c>
      <c r="D20" s="120" t="n">
        <v>11</v>
      </c>
      <c r="E20" s="121" t="n">
        <v>1800</v>
      </c>
      <c r="F20" s="121">
        <f>D20*E20</f>
        <v/>
      </c>
      <c r="G20" s="122" t="n">
        <v>15</v>
      </c>
      <c r="H20" s="120" t="inlineStr">
        <is>
          <t>ROTATE</t>
        </is>
      </c>
      <c r="I20" s="123" t="n">
        <v>0.15</v>
      </c>
      <c r="J20" s="124">
        <f>F20*(1-I20)</f>
        <v/>
      </c>
      <c r="K20" s="124">
        <f>F20-J20</f>
        <v/>
      </c>
    </row>
    <row r="21" ht="16" customHeight="1">
      <c r="A21" s="120" t="inlineStr">
        <is>
          <t>FUSO-CRK-025</t>
        </is>
      </c>
      <c r="B21" s="120" t="inlineStr">
        <is>
          <t>Crankshaft Seal Kit</t>
        </is>
      </c>
      <c r="C21" s="120" t="inlineStr">
        <is>
          <t>Super Great V</t>
        </is>
      </c>
      <c r="D21" s="120" t="n">
        <v>15</v>
      </c>
      <c r="E21" s="121" t="n">
        <v>650</v>
      </c>
      <c r="F21" s="121">
        <f>D21*E21</f>
        <v/>
      </c>
      <c r="G21" s="122" t="n">
        <v>12</v>
      </c>
      <c r="H21" s="120" t="inlineStr">
        <is>
          <t>ROTATE</t>
        </is>
      </c>
      <c r="I21" s="123" t="n">
        <v>0.15</v>
      </c>
      <c r="J21" s="124">
        <f>F21*(1-I21)</f>
        <v/>
      </c>
      <c r="K21" s="124">
        <f>F21-J21</f>
        <v/>
      </c>
    </row>
    <row r="22" ht="16" customHeight="1">
      <c r="A22" s="120" t="inlineStr">
        <is>
          <t>FUSO-ECU-031</t>
        </is>
      </c>
      <c r="B22" s="120" t="inlineStr">
        <is>
          <t>eCanter ECU Module</t>
        </is>
      </c>
      <c r="C22" s="120" t="inlineStr">
        <is>
          <t>eCanter</t>
        </is>
      </c>
      <c r="D22" s="120" t="n">
        <v>5</v>
      </c>
      <c r="E22" s="121" t="n">
        <v>8500</v>
      </c>
      <c r="F22" s="121">
        <f>D22*E22</f>
        <v/>
      </c>
      <c r="G22" s="122" t="n">
        <v>10</v>
      </c>
      <c r="H22" s="120" t="inlineStr">
        <is>
          <t>ROTATE</t>
        </is>
      </c>
      <c r="I22" s="123" t="n">
        <v>0.1</v>
      </c>
      <c r="J22" s="124">
        <f>F22*(1-I22)</f>
        <v/>
      </c>
      <c r="K22" s="124">
        <f>F22-J22</f>
        <v/>
      </c>
    </row>
    <row r="23" ht="16" customHeight="1">
      <c r="A23" s="120" t="inlineStr">
        <is>
          <t>FUSO-INV-034</t>
        </is>
      </c>
      <c r="B23" s="120" t="inlineStr">
        <is>
          <t>Inverter Module</t>
        </is>
      </c>
      <c r="C23" s="120" t="inlineStr">
        <is>
          <t>eCanter</t>
        </is>
      </c>
      <c r="D23" s="120" t="n">
        <v>3</v>
      </c>
      <c r="E23" s="121" t="n">
        <v>12000</v>
      </c>
      <c r="F23" s="121">
        <f>D23*E23</f>
        <v/>
      </c>
      <c r="G23" s="122" t="n">
        <v>11</v>
      </c>
      <c r="H23" s="120" t="inlineStr">
        <is>
          <t>ROTATE</t>
        </is>
      </c>
      <c r="I23" s="123" t="n">
        <v>0.1</v>
      </c>
      <c r="J23" s="124">
        <f>F23*(1-I23)</f>
        <v/>
      </c>
      <c r="K23" s="124">
        <f>F23-J23</f>
        <v/>
      </c>
    </row>
    <row r="24" ht="16" customHeight="1">
      <c r="A24" s="110" t="inlineStr">
        <is>
          <t>FUSO-CHG-035</t>
        </is>
      </c>
      <c r="B24" s="110" t="inlineStr">
        <is>
          <t>On-Board Charger</t>
        </is>
      </c>
      <c r="C24" s="110" t="inlineStr">
        <is>
          <t>eCanter</t>
        </is>
      </c>
      <c r="D24" s="110" t="n">
        <v>2</v>
      </c>
      <c r="E24" s="111" t="n">
        <v>9500</v>
      </c>
      <c r="F24" s="111">
        <f>D24*E24</f>
        <v/>
      </c>
      <c r="G24" s="112" t="n">
        <v>12</v>
      </c>
      <c r="H24" s="110" t="inlineStr">
        <is>
          <t>SCRAP</t>
        </is>
      </c>
      <c r="I24" s="113" t="n">
        <v>0</v>
      </c>
      <c r="J24" s="114" t="n">
        <v>0</v>
      </c>
      <c r="K24" s="114">
        <f>F24-J24</f>
        <v/>
      </c>
    </row>
    <row r="25" ht="16" customHeight="1">
      <c r="A25" s="120" t="inlineStr">
        <is>
          <t>FUSO-BAT-032</t>
        </is>
      </c>
      <c r="B25" s="120" t="inlineStr">
        <is>
          <t>Battery Cell Module</t>
        </is>
      </c>
      <c r="C25" s="120" t="inlineStr">
        <is>
          <t>eCanter</t>
        </is>
      </c>
      <c r="D25" s="120" t="n">
        <v>4</v>
      </c>
      <c r="E25" s="121" t="n">
        <v>18000</v>
      </c>
      <c r="F25" s="121">
        <f>D25*E25</f>
        <v/>
      </c>
      <c r="G25" s="122" t="n">
        <v>10</v>
      </c>
      <c r="H25" s="120" t="inlineStr">
        <is>
          <t>ROTATE</t>
        </is>
      </c>
      <c r="I25" s="123" t="n">
        <v>0.1</v>
      </c>
      <c r="J25" s="124">
        <f>F25*(1-I25)</f>
        <v/>
      </c>
      <c r="K25" s="124">
        <f>F25-J25</f>
        <v/>
      </c>
    </row>
    <row r="26" ht="16" customHeight="1">
      <c r="A26" s="115" t="inlineStr">
        <is>
          <t>FUSO-STR-016</t>
        </is>
      </c>
      <c r="B26" s="115" t="inlineStr">
        <is>
          <t>Steering Pump</t>
        </is>
      </c>
      <c r="C26" s="115" t="inlineStr">
        <is>
          <t>Fighter FM</t>
        </is>
      </c>
      <c r="D26" s="115" t="n">
        <v>12</v>
      </c>
      <c r="E26" s="116" t="n">
        <v>1100</v>
      </c>
      <c r="F26" s="116">
        <f>D26*E26</f>
        <v/>
      </c>
      <c r="G26" s="117" t="n">
        <v>10</v>
      </c>
      <c r="H26" s="115" t="inlineStr">
        <is>
          <t>BUNDLE</t>
        </is>
      </c>
      <c r="I26" s="118" t="n">
        <v>0.2</v>
      </c>
      <c r="J26" s="119">
        <f>F26*(1-I26)</f>
        <v/>
      </c>
      <c r="K26" s="119">
        <f>F26-J26</f>
        <v/>
      </c>
    </row>
    <row r="27" ht="16" customHeight="1">
      <c r="A27" s="115" t="inlineStr">
        <is>
          <t>FUSO-SPR-049</t>
        </is>
      </c>
      <c r="B27" s="115" t="inlineStr">
        <is>
          <t>Leaf Spring (pair)</t>
        </is>
      </c>
      <c r="C27" s="115" t="inlineStr">
        <is>
          <t>Fighter FM</t>
        </is>
      </c>
      <c r="D27" s="115" t="n">
        <v>8</v>
      </c>
      <c r="E27" s="116" t="n">
        <v>1800</v>
      </c>
      <c r="F27" s="116">
        <f>D27*E27</f>
        <v/>
      </c>
      <c r="G27" s="117" t="n">
        <v>9</v>
      </c>
      <c r="H27" s="115" t="inlineStr">
        <is>
          <t>BUNDLE</t>
        </is>
      </c>
      <c r="I27" s="118" t="n">
        <v>0.2</v>
      </c>
      <c r="J27" s="119">
        <f>F27*(1-I27)</f>
        <v/>
      </c>
      <c r="K27" s="119">
        <f>F27-J27</f>
        <v/>
      </c>
    </row>
    <row r="28" ht="16" customHeight="1">
      <c r="A28" s="120" t="inlineStr">
        <is>
          <t>FUSO-HUB-045</t>
        </is>
      </c>
      <c r="B28" s="120" t="inlineStr">
        <is>
          <t>Wheel Hub Assy</t>
        </is>
      </c>
      <c r="C28" s="120" t="inlineStr">
        <is>
          <t>Fighter FM</t>
        </is>
      </c>
      <c r="D28" s="120" t="n">
        <v>10</v>
      </c>
      <c r="E28" s="121" t="n">
        <v>1400</v>
      </c>
      <c r="F28" s="121">
        <f>D28*E28</f>
        <v/>
      </c>
      <c r="G28" s="122" t="n">
        <v>10</v>
      </c>
      <c r="H28" s="120" t="inlineStr">
        <is>
          <t>ROTATE</t>
        </is>
      </c>
      <c r="I28" s="123" t="n">
        <v>0.15</v>
      </c>
      <c r="J28" s="124">
        <f>F28*(1-I28)</f>
        <v/>
      </c>
      <c r="K28" s="124">
        <f>F28-J28</f>
        <v/>
      </c>
    </row>
    <row r="29" ht="16" customHeight="1">
      <c r="A29" s="115" t="inlineStr">
        <is>
          <t>FUSO-EGR-040</t>
        </is>
      </c>
      <c r="B29" s="115" t="inlineStr">
        <is>
          <t>EGR Valve</t>
        </is>
      </c>
      <c r="C29" s="115" t="inlineStr">
        <is>
          <t>Fighter FM</t>
        </is>
      </c>
      <c r="D29" s="115" t="n">
        <v>14</v>
      </c>
      <c r="E29" s="116" t="n">
        <v>960</v>
      </c>
      <c r="F29" s="116">
        <f>D29*E29</f>
        <v/>
      </c>
      <c r="G29" s="117" t="n">
        <v>9</v>
      </c>
      <c r="H29" s="115" t="inlineStr">
        <is>
          <t>BUNDLE</t>
        </is>
      </c>
      <c r="I29" s="118" t="n">
        <v>0.2</v>
      </c>
      <c r="J29" s="119">
        <f>F29*(1-I29)</f>
        <v/>
      </c>
      <c r="K29" s="119">
        <f>F29-J29</f>
        <v/>
      </c>
    </row>
    <row r="30" ht="16" customHeight="1">
      <c r="A30" s="120" t="inlineStr">
        <is>
          <t>FUSO-ADB-044</t>
        </is>
      </c>
      <c r="B30" s="120" t="inlineStr">
        <is>
          <t>AdBlue Pump</t>
        </is>
      </c>
      <c r="C30" s="120" t="inlineStr">
        <is>
          <t>Fighter FM</t>
        </is>
      </c>
      <c r="D30" s="120" t="n">
        <v>18</v>
      </c>
      <c r="E30" s="121" t="n">
        <v>640</v>
      </c>
      <c r="F30" s="121">
        <f>D30*E30</f>
        <v/>
      </c>
      <c r="G30" s="122" t="n">
        <v>8</v>
      </c>
      <c r="H30" s="120" t="inlineStr">
        <is>
          <t>ROTATE</t>
        </is>
      </c>
      <c r="I30" s="123" t="n">
        <v>0.1</v>
      </c>
      <c r="J30" s="124">
        <f>F30*(1-I30)</f>
        <v/>
      </c>
      <c r="K30" s="124">
        <f>F30-J30</f>
        <v/>
      </c>
    </row>
    <row r="31" ht="16" customHeight="1">
      <c r="A31" s="115" t="inlineStr">
        <is>
          <t>FUSO-TRN-014</t>
        </is>
      </c>
      <c r="B31" s="115" t="inlineStr">
        <is>
          <t>Transmission Mount</t>
        </is>
      </c>
      <c r="C31" s="115" t="inlineStr">
        <is>
          <t>Fighter FM</t>
        </is>
      </c>
      <c r="D31" s="115" t="n">
        <v>20</v>
      </c>
      <c r="E31" s="116" t="n">
        <v>560</v>
      </c>
      <c r="F31" s="116">
        <f>D31*E31</f>
        <v/>
      </c>
      <c r="G31" s="117" t="n">
        <v>9</v>
      </c>
      <c r="H31" s="115" t="inlineStr">
        <is>
          <t>BUNDLE</t>
        </is>
      </c>
      <c r="I31" s="118" t="n">
        <v>0.2</v>
      </c>
      <c r="J31" s="119">
        <f>F31*(1-I31)</f>
        <v/>
      </c>
      <c r="K31" s="119">
        <f>F31-J31</f>
        <v/>
      </c>
    </row>
    <row r="32" ht="16" customHeight="1">
      <c r="A32" s="120" t="inlineStr">
        <is>
          <t>FUSO-FUL-017</t>
        </is>
      </c>
      <c r="B32" s="120" t="inlineStr">
        <is>
          <t>Fuel Pump Assy</t>
        </is>
      </c>
      <c r="C32" s="120" t="inlineStr">
        <is>
          <t>Fighter FM</t>
        </is>
      </c>
      <c r="D32" s="120" t="n">
        <v>11</v>
      </c>
      <c r="E32" s="121" t="n">
        <v>780</v>
      </c>
      <c r="F32" s="121">
        <f>D32*E32</f>
        <v/>
      </c>
      <c r="G32" s="122" t="n">
        <v>9</v>
      </c>
      <c r="H32" s="120" t="inlineStr">
        <is>
          <t>ROTATE</t>
        </is>
      </c>
      <c r="I32" s="123" t="n">
        <v>0.15</v>
      </c>
      <c r="J32" s="124">
        <f>F32*(1-I32)</f>
        <v/>
      </c>
      <c r="K32" s="124">
        <f>F32-J32</f>
        <v/>
      </c>
    </row>
    <row r="34" ht="22" customHeight="1">
      <c r="A34" s="125" t="inlineStr">
        <is>
          <t>SUMMARY TOTALS</t>
        </is>
      </c>
    </row>
    <row r="35" ht="20" customHeight="1">
      <c r="A35" s="61" t="inlineStr">
        <is>
          <t>Total Portfolio Value (AED)</t>
        </is>
      </c>
      <c r="B35" s="3" t="n"/>
      <c r="C35" s="3" t="n"/>
      <c r="D35" s="3" t="n"/>
      <c r="E35" s="4" t="n"/>
      <c r="F35" s="126">
        <f>SUM(F8:F32)</f>
        <v/>
      </c>
    </row>
    <row r="36" ht="20" customHeight="1">
      <c r="A36" s="61" t="inlineStr">
        <is>
          <t>Total Expected Recovery (AED)</t>
        </is>
      </c>
      <c r="B36" s="3" t="n"/>
      <c r="C36" s="3" t="n"/>
      <c r="D36" s="3" t="n"/>
      <c r="E36" s="4" t="n"/>
      <c r="F36" s="126">
        <f>SUM(J8:J32)</f>
        <v/>
      </c>
    </row>
    <row r="37" ht="20" customHeight="1">
      <c r="A37" s="61" t="inlineStr">
        <is>
          <t>Total Write-Down (AED)</t>
        </is>
      </c>
      <c r="B37" s="3" t="n"/>
      <c r="C37" s="3" t="n"/>
      <c r="D37" s="3" t="n"/>
      <c r="E37" s="4" t="n"/>
      <c r="F37" s="126">
        <f>SUM(K8:K32)</f>
        <v/>
      </c>
    </row>
    <row r="38" ht="20" customHeight="1">
      <c r="A38" s="61" t="inlineStr">
        <is>
          <t>Net Working Capital Released (AED)</t>
        </is>
      </c>
      <c r="B38" s="3" t="n"/>
      <c r="C38" s="3" t="n"/>
      <c r="D38" s="3" t="n"/>
      <c r="E38" s="4" t="n"/>
      <c r="F38" s="126">
        <f>F35+F36-F37</f>
        <v/>
      </c>
    </row>
  </sheetData>
  <mergeCells count="10">
    <mergeCell ref="A34:E34"/>
    <mergeCell ref="A35:E35"/>
    <mergeCell ref="A4:K4"/>
    <mergeCell ref="A3:K3"/>
    <mergeCell ref="A38:E38"/>
    <mergeCell ref="A2:K2"/>
    <mergeCell ref="A37:E37"/>
    <mergeCell ref="A36:E36"/>
    <mergeCell ref="A5:K5"/>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2"/>
  <sheetViews>
    <sheetView showGridLines="0" workbookViewId="0">
      <pane ySplit="3" topLeftCell="A4" activePane="bottomLeft" state="frozen"/>
      <selection pane="bottomLeft" activeCell="A1" sqref="A1"/>
    </sheetView>
  </sheetViews>
  <sheetFormatPr baseColWidth="8" defaultRowHeight="15"/>
  <cols>
    <col width="14" customWidth="1" min="1" max="1"/>
    <col width="16" customWidth="1" min="2" max="2"/>
    <col width="20" customWidth="1" min="3" max="3"/>
    <col width="18" customWidth="1" min="4" max="4"/>
    <col width="18" customWidth="1" min="5" max="5"/>
    <col width="16" customWidth="1" min="6" max="6"/>
    <col width="14" customWidth="1" min="7" max="7"/>
    <col width="20" customWidth="1" min="8" max="8"/>
  </cols>
  <sheetData>
    <row r="1" ht="28" customHeight="1">
      <c r="A1" s="60" t="inlineStr">
        <is>
          <t>eCanter EV PARTS — CAUSAL FORECASTING (No SAP APO History)</t>
        </is>
      </c>
    </row>
    <row r="2" ht="36" customHeight="1">
      <c r="A2" s="127" t="inlineStr">
        <is>
          <t>Context: eCanter fleet has ZERO SAP APO history. Forecasting driven by telematics data, Battery SoH %, DTC codes, and fleet mileage. Class 9 DG Hazmat — requires SoC monitoring every 90 days at Jafza.</t>
        </is>
      </c>
    </row>
    <row r="4">
      <c r="A4" s="2" t="inlineStr">
        <is>
          <t>eCanter FLEET HEALTH TRACKER — 20 UNITS</t>
        </is>
      </c>
      <c r="B4" s="3" t="n"/>
      <c r="C4" s="3" t="n"/>
      <c r="D4" s="3" t="n"/>
      <c r="E4" s="3" t="n"/>
      <c r="F4" s="3" t="n"/>
      <c r="G4" s="3" t="n"/>
      <c r="H4" s="4" t="n"/>
    </row>
    <row r="5" ht="30" customHeight="1">
      <c r="A5" s="83" t="inlineStr">
        <is>
          <t>Chassis #</t>
        </is>
      </c>
      <c r="B5" s="83" t="inlineStr">
        <is>
          <t>Market</t>
        </is>
      </c>
      <c r="C5" s="83" t="inlineStr">
        <is>
          <t>Daily Mileage (km)</t>
        </is>
      </c>
      <c r="D5" s="83" t="inlineStr">
        <is>
          <t>Battery SoH %</t>
        </is>
      </c>
      <c r="E5" s="83" t="inlineStr">
        <is>
          <t>Last Service (days ago)</t>
        </is>
      </c>
      <c r="F5" s="83" t="inlineStr">
        <is>
          <t>DTC Codes (Y/N)</t>
        </is>
      </c>
      <c r="G5" s="83" t="inlineStr">
        <is>
          <t>VOR Risk Flag</t>
        </is>
      </c>
      <c r="H5" s="83" t="inlineStr">
        <is>
          <t>Notes</t>
        </is>
      </c>
    </row>
    <row r="6" ht="16" customHeight="1">
      <c r="A6" s="70" t="inlineStr">
        <is>
          <t>EC-001</t>
        </is>
      </c>
      <c r="B6" s="70" t="inlineStr">
        <is>
          <t>UAE</t>
        </is>
      </c>
      <c r="C6" s="128" t="n">
        <v>155</v>
      </c>
      <c r="D6" s="129" t="n">
        <v>0.8100000000000001</v>
      </c>
      <c r="E6" s="130" t="n">
        <v>32</v>
      </c>
      <c r="F6" s="130" t="inlineStr">
        <is>
          <t>Y</t>
        </is>
      </c>
      <c r="G6" s="128">
        <f>IF(AND(C6&gt;150,D6&lt;0.85),"URGENT VOR",IF(D6&lt;0.90,"WATCHLIST","NORMAL"))</f>
        <v/>
      </c>
      <c r="H6" s="70" t="inlineStr">
        <is>
          <t>DTC alert — schedule inspection</t>
        </is>
      </c>
    </row>
    <row r="7" ht="16" customHeight="1">
      <c r="A7" s="70" t="inlineStr">
        <is>
          <t>EC-002</t>
        </is>
      </c>
      <c r="B7" s="70" t="inlineStr">
        <is>
          <t>UAE</t>
        </is>
      </c>
      <c r="C7" s="128" t="n">
        <v>148</v>
      </c>
      <c r="D7" s="129" t="n">
        <v>0.88</v>
      </c>
      <c r="E7" s="130" t="n">
        <v>28</v>
      </c>
      <c r="F7" s="130" t="inlineStr">
        <is>
          <t>N</t>
        </is>
      </c>
      <c r="G7" s="128">
        <f>IF(AND(C7&gt;150,D7&lt;0.85),"URGENT VOR",IF(D7&lt;0.90,"WATCHLIST","NORMAL"))</f>
        <v/>
      </c>
      <c r="H7" s="70" t="inlineStr">
        <is>
          <t>Normal operation</t>
        </is>
      </c>
    </row>
    <row r="8" ht="16" customHeight="1">
      <c r="A8" s="70" t="inlineStr">
        <is>
          <t>EC-003</t>
        </is>
      </c>
      <c r="B8" s="70" t="inlineStr">
        <is>
          <t>UAE</t>
        </is>
      </c>
      <c r="C8" s="128" t="n">
        <v>162</v>
      </c>
      <c r="D8" s="129" t="n">
        <v>0.79</v>
      </c>
      <c r="E8" s="130" t="n">
        <v>35</v>
      </c>
      <c r="F8" s="130" t="inlineStr">
        <is>
          <t>Y</t>
        </is>
      </c>
      <c r="G8" s="128">
        <f>IF(AND(C8&gt;150,D8&lt;0.85),"URGENT VOR",IF(D8&lt;0.90,"WATCHLIST","NORMAL"))</f>
        <v/>
      </c>
      <c r="H8" s="70" t="inlineStr">
        <is>
          <t>DTC alert — schedule inspection</t>
        </is>
      </c>
    </row>
    <row r="9" ht="16" customHeight="1">
      <c r="A9" s="70" t="inlineStr">
        <is>
          <t>EC-004</t>
        </is>
      </c>
      <c r="B9" s="70" t="inlineStr">
        <is>
          <t>KSA</t>
        </is>
      </c>
      <c r="C9" s="128" t="n">
        <v>170</v>
      </c>
      <c r="D9" s="129" t="n">
        <v>0.75</v>
      </c>
      <c r="E9" s="130" t="n">
        <v>40</v>
      </c>
      <c r="F9" s="130" t="inlineStr">
        <is>
          <t>Y</t>
        </is>
      </c>
      <c r="G9" s="128">
        <f>IF(AND(C9&gt;150,D9&lt;0.85),"URGENT VOR",IF(D9&lt;0.90,"WATCHLIST","NORMAL"))</f>
        <v/>
      </c>
      <c r="H9" s="70" t="inlineStr">
        <is>
          <t>DTC alert — schedule inspection</t>
        </is>
      </c>
    </row>
    <row r="10" ht="16" customHeight="1">
      <c r="A10" s="70" t="inlineStr">
        <is>
          <t>EC-005</t>
        </is>
      </c>
      <c r="B10" s="70" t="inlineStr">
        <is>
          <t>KSA</t>
        </is>
      </c>
      <c r="C10" s="128" t="n">
        <v>145</v>
      </c>
      <c r="D10" s="129" t="n">
        <v>0.92</v>
      </c>
      <c r="E10" s="130" t="n">
        <v>20</v>
      </c>
      <c r="F10" s="130" t="inlineStr">
        <is>
          <t>N</t>
        </is>
      </c>
      <c r="G10" s="128">
        <f>IF(AND(C10&gt;150,D10&lt;0.85),"URGENT VOR",IF(D10&lt;0.90,"WATCHLIST","NORMAL"))</f>
        <v/>
      </c>
      <c r="H10" s="70" t="inlineStr">
        <is>
          <t>Normal operation</t>
        </is>
      </c>
    </row>
    <row r="11" ht="16" customHeight="1">
      <c r="A11" s="70" t="inlineStr">
        <is>
          <t>EC-006</t>
        </is>
      </c>
      <c r="B11" s="70" t="inlineStr">
        <is>
          <t>KSA</t>
        </is>
      </c>
      <c r="C11" s="128" t="n">
        <v>138</v>
      </c>
      <c r="D11" s="129" t="n">
        <v>0.89</v>
      </c>
      <c r="E11" s="130" t="n">
        <v>22</v>
      </c>
      <c r="F11" s="130" t="inlineStr">
        <is>
          <t>N</t>
        </is>
      </c>
      <c r="G11" s="128">
        <f>IF(AND(C11&gt;150,D11&lt;0.85),"URGENT VOR",IF(D11&lt;0.90,"WATCHLIST","NORMAL"))</f>
        <v/>
      </c>
      <c r="H11" s="70" t="inlineStr">
        <is>
          <t>Normal operation</t>
        </is>
      </c>
    </row>
    <row r="12" ht="16" customHeight="1">
      <c r="A12" s="70" t="inlineStr">
        <is>
          <t>EC-007</t>
        </is>
      </c>
      <c r="B12" s="70" t="inlineStr">
        <is>
          <t>Qatar</t>
        </is>
      </c>
      <c r="C12" s="128" t="n">
        <v>160</v>
      </c>
      <c r="D12" s="129" t="n">
        <v>0.82</v>
      </c>
      <c r="E12" s="130" t="n">
        <v>30</v>
      </c>
      <c r="F12" s="130" t="inlineStr">
        <is>
          <t>Y</t>
        </is>
      </c>
      <c r="G12" s="128">
        <f>IF(AND(C12&gt;150,D12&lt;0.85),"URGENT VOR",IF(D12&lt;0.90,"WATCHLIST","NORMAL"))</f>
        <v/>
      </c>
      <c r="H12" s="70" t="inlineStr">
        <is>
          <t>DTC alert — schedule inspection</t>
        </is>
      </c>
    </row>
    <row r="13" ht="16" customHeight="1">
      <c r="A13" s="70" t="inlineStr">
        <is>
          <t>EC-008</t>
        </is>
      </c>
      <c r="B13" s="70" t="inlineStr">
        <is>
          <t>Qatar</t>
        </is>
      </c>
      <c r="C13" s="128" t="n">
        <v>142</v>
      </c>
      <c r="D13" s="129" t="n">
        <v>0.91</v>
      </c>
      <c r="E13" s="130" t="n">
        <v>18</v>
      </c>
      <c r="F13" s="130" t="inlineStr">
        <is>
          <t>N</t>
        </is>
      </c>
      <c r="G13" s="128">
        <f>IF(AND(C13&gt;150,D13&lt;0.85),"URGENT VOR",IF(D13&lt;0.90,"WATCHLIST","NORMAL"))</f>
        <v/>
      </c>
      <c r="H13" s="70" t="inlineStr">
        <is>
          <t>Normal operation</t>
        </is>
      </c>
    </row>
    <row r="14" ht="16" customHeight="1">
      <c r="A14" s="70" t="inlineStr">
        <is>
          <t>EC-009</t>
        </is>
      </c>
      <c r="B14" s="70" t="inlineStr">
        <is>
          <t>UAE</t>
        </is>
      </c>
      <c r="C14" s="128" t="n">
        <v>155</v>
      </c>
      <c r="D14" s="129" t="n">
        <v>0.84</v>
      </c>
      <c r="E14" s="130" t="n">
        <v>25</v>
      </c>
      <c r="F14" s="130" t="inlineStr">
        <is>
          <t>N</t>
        </is>
      </c>
      <c r="G14" s="128">
        <f>IF(AND(C14&gt;150,D14&lt;0.85),"URGENT VOR",IF(D14&lt;0.90,"WATCHLIST","NORMAL"))</f>
        <v/>
      </c>
      <c r="H14" s="70" t="inlineStr">
        <is>
          <t>Normal operation</t>
        </is>
      </c>
    </row>
    <row r="15" ht="16" customHeight="1">
      <c r="A15" s="70" t="inlineStr">
        <is>
          <t>EC-010</t>
        </is>
      </c>
      <c r="B15" s="70" t="inlineStr">
        <is>
          <t>UAE</t>
        </is>
      </c>
      <c r="C15" s="128" t="n">
        <v>168</v>
      </c>
      <c r="D15" s="129" t="n">
        <v>0.77</v>
      </c>
      <c r="E15" s="130" t="n">
        <v>36</v>
      </c>
      <c r="F15" s="130" t="inlineStr">
        <is>
          <t>Y</t>
        </is>
      </c>
      <c r="G15" s="128">
        <f>IF(AND(C15&gt;150,D15&lt;0.85),"URGENT VOR",IF(D15&lt;0.90,"WATCHLIST","NORMAL"))</f>
        <v/>
      </c>
      <c r="H15" s="70" t="inlineStr">
        <is>
          <t>DTC alert — schedule inspection</t>
        </is>
      </c>
    </row>
    <row r="16" ht="16" customHeight="1">
      <c r="A16" s="70" t="inlineStr">
        <is>
          <t>EC-011</t>
        </is>
      </c>
      <c r="B16" s="70" t="inlineStr">
        <is>
          <t>KSA</t>
        </is>
      </c>
      <c r="C16" s="128" t="n">
        <v>150</v>
      </c>
      <c r="D16" s="129" t="n">
        <v>0.9</v>
      </c>
      <c r="E16" s="130" t="n">
        <v>19</v>
      </c>
      <c r="F16" s="130" t="inlineStr">
        <is>
          <t>N</t>
        </is>
      </c>
      <c r="G16" s="128">
        <f>IF(AND(C16&gt;150,D16&lt;0.85),"URGENT VOR",IF(D16&lt;0.90,"WATCHLIST","NORMAL"))</f>
        <v/>
      </c>
      <c r="H16" s="70" t="inlineStr">
        <is>
          <t>Normal operation</t>
        </is>
      </c>
    </row>
    <row r="17" ht="16" customHeight="1">
      <c r="A17" s="70" t="inlineStr">
        <is>
          <t>EC-012</t>
        </is>
      </c>
      <c r="B17" s="70" t="inlineStr">
        <is>
          <t>KSA</t>
        </is>
      </c>
      <c r="C17" s="128" t="n">
        <v>175</v>
      </c>
      <c r="D17" s="129" t="n">
        <v>0.73</v>
      </c>
      <c r="E17" s="130" t="n">
        <v>42</v>
      </c>
      <c r="F17" s="130" t="inlineStr">
        <is>
          <t>Y</t>
        </is>
      </c>
      <c r="G17" s="128">
        <f>IF(AND(C17&gt;150,D17&lt;0.85),"URGENT VOR",IF(D17&lt;0.90,"WATCHLIST","NORMAL"))</f>
        <v/>
      </c>
      <c r="H17" s="70" t="inlineStr">
        <is>
          <t>DTC alert — schedule inspection</t>
        </is>
      </c>
    </row>
    <row r="18" ht="16" customHeight="1">
      <c r="A18" s="70" t="inlineStr">
        <is>
          <t>EC-013</t>
        </is>
      </c>
      <c r="B18" s="70" t="inlineStr">
        <is>
          <t>Qatar</t>
        </is>
      </c>
      <c r="C18" s="128" t="n">
        <v>148</v>
      </c>
      <c r="D18" s="129" t="n">
        <v>0.87</v>
      </c>
      <c r="E18" s="130" t="n">
        <v>24</v>
      </c>
      <c r="F18" s="130" t="inlineStr">
        <is>
          <t>N</t>
        </is>
      </c>
      <c r="G18" s="128">
        <f>IF(AND(C18&gt;150,D18&lt;0.85),"URGENT VOR",IF(D18&lt;0.90,"WATCHLIST","NORMAL"))</f>
        <v/>
      </c>
      <c r="H18" s="70" t="inlineStr">
        <is>
          <t>Normal operation</t>
        </is>
      </c>
    </row>
    <row r="19" ht="16" customHeight="1">
      <c r="A19" s="70" t="inlineStr">
        <is>
          <t>EC-014</t>
        </is>
      </c>
      <c r="B19" s="70" t="inlineStr">
        <is>
          <t>UAE</t>
        </is>
      </c>
      <c r="C19" s="128" t="n">
        <v>163</v>
      </c>
      <c r="D19" s="129" t="n">
        <v>0.8</v>
      </c>
      <c r="E19" s="130" t="n">
        <v>31</v>
      </c>
      <c r="F19" s="130" t="inlineStr">
        <is>
          <t>Y</t>
        </is>
      </c>
      <c r="G19" s="128">
        <f>IF(AND(C19&gt;150,D19&lt;0.85),"URGENT VOR",IF(D19&lt;0.90,"WATCHLIST","NORMAL"))</f>
        <v/>
      </c>
      <c r="H19" s="70" t="inlineStr">
        <is>
          <t>DTC alert — schedule inspection</t>
        </is>
      </c>
    </row>
    <row r="20" ht="16" customHeight="1">
      <c r="A20" s="70" t="inlineStr">
        <is>
          <t>EC-015</t>
        </is>
      </c>
      <c r="B20" s="70" t="inlineStr">
        <is>
          <t>UAE</t>
        </is>
      </c>
      <c r="C20" s="128" t="n">
        <v>140</v>
      </c>
      <c r="D20" s="129" t="n">
        <v>0.93</v>
      </c>
      <c r="E20" s="130" t="n">
        <v>15</v>
      </c>
      <c r="F20" s="130" t="inlineStr">
        <is>
          <t>N</t>
        </is>
      </c>
      <c r="G20" s="128">
        <f>IF(AND(C20&gt;150,D20&lt;0.85),"URGENT VOR",IF(D20&lt;0.90,"WATCHLIST","NORMAL"))</f>
        <v/>
      </c>
      <c r="H20" s="70" t="inlineStr">
        <is>
          <t>Normal operation</t>
        </is>
      </c>
    </row>
    <row r="21" ht="16" customHeight="1">
      <c r="A21" s="70" t="inlineStr">
        <is>
          <t>EC-016</t>
        </is>
      </c>
      <c r="B21" s="70" t="inlineStr">
        <is>
          <t>KSA</t>
        </is>
      </c>
      <c r="C21" s="128" t="n">
        <v>158</v>
      </c>
      <c r="D21" s="129" t="n">
        <v>0.86</v>
      </c>
      <c r="E21" s="130" t="n">
        <v>27</v>
      </c>
      <c r="F21" s="130" t="inlineStr">
        <is>
          <t>N</t>
        </is>
      </c>
      <c r="G21" s="128">
        <f>IF(AND(C21&gt;150,D21&lt;0.85),"URGENT VOR",IF(D21&lt;0.90,"WATCHLIST","NORMAL"))</f>
        <v/>
      </c>
      <c r="H21" s="70" t="inlineStr">
        <is>
          <t>Normal operation</t>
        </is>
      </c>
    </row>
    <row r="22" ht="16" customHeight="1">
      <c r="A22" s="70" t="inlineStr">
        <is>
          <t>EC-017</t>
        </is>
      </c>
      <c r="B22" s="70" t="inlineStr">
        <is>
          <t>Qatar</t>
        </is>
      </c>
      <c r="C22" s="128" t="n">
        <v>172</v>
      </c>
      <c r="D22" s="129" t="n">
        <v>0.76</v>
      </c>
      <c r="E22" s="130" t="n">
        <v>38</v>
      </c>
      <c r="F22" s="130" t="inlineStr">
        <is>
          <t>Y</t>
        </is>
      </c>
      <c r="G22" s="128">
        <f>IF(AND(C22&gt;150,D22&lt;0.85),"URGENT VOR",IF(D22&lt;0.90,"WATCHLIST","NORMAL"))</f>
        <v/>
      </c>
      <c r="H22" s="70" t="inlineStr">
        <is>
          <t>DTC alert — schedule inspection</t>
        </is>
      </c>
    </row>
    <row r="23" ht="16" customHeight="1">
      <c r="A23" s="70" t="inlineStr">
        <is>
          <t>EC-018</t>
        </is>
      </c>
      <c r="B23" s="70" t="inlineStr">
        <is>
          <t>UAE</t>
        </is>
      </c>
      <c r="C23" s="128" t="n">
        <v>145</v>
      </c>
      <c r="D23" s="129" t="n">
        <v>0.91</v>
      </c>
      <c r="E23" s="130" t="n">
        <v>21</v>
      </c>
      <c r="F23" s="130" t="inlineStr">
        <is>
          <t>N</t>
        </is>
      </c>
      <c r="G23" s="128">
        <f>IF(AND(C23&gt;150,D23&lt;0.85),"URGENT VOR",IF(D23&lt;0.90,"WATCHLIST","NORMAL"))</f>
        <v/>
      </c>
      <c r="H23" s="70" t="inlineStr">
        <is>
          <t>Normal operation</t>
        </is>
      </c>
    </row>
    <row r="24" ht="16" customHeight="1">
      <c r="A24" s="70" t="inlineStr">
        <is>
          <t>EC-019</t>
        </is>
      </c>
      <c r="B24" s="70" t="inlineStr">
        <is>
          <t>KSA</t>
        </is>
      </c>
      <c r="C24" s="128" t="n">
        <v>155</v>
      </c>
      <c r="D24" s="129" t="n">
        <v>0.83</v>
      </c>
      <c r="E24" s="130" t="n">
        <v>29</v>
      </c>
      <c r="F24" s="130" t="inlineStr">
        <is>
          <t>Y</t>
        </is>
      </c>
      <c r="G24" s="128">
        <f>IF(AND(C24&gt;150,D24&lt;0.85),"URGENT VOR",IF(D24&lt;0.90,"WATCHLIST","NORMAL"))</f>
        <v/>
      </c>
      <c r="H24" s="70" t="inlineStr">
        <is>
          <t>DTC alert — schedule inspection</t>
        </is>
      </c>
    </row>
    <row r="25" ht="16" customHeight="1">
      <c r="A25" s="70" t="inlineStr">
        <is>
          <t>EC-020</t>
        </is>
      </c>
      <c r="B25" s="70" t="inlineStr">
        <is>
          <t>Qatar</t>
        </is>
      </c>
      <c r="C25" s="128" t="n">
        <v>135</v>
      </c>
      <c r="D25" s="129" t="n">
        <v>0.9399999999999999</v>
      </c>
      <c r="E25" s="130" t="n">
        <v>16</v>
      </c>
      <c r="F25" s="130" t="inlineStr">
        <is>
          <t>N</t>
        </is>
      </c>
      <c r="G25" s="128">
        <f>IF(AND(C25&gt;150,D25&lt;0.85),"URGENT VOR",IF(D25&lt;0.90,"WATCHLIST","NORMAL"))</f>
        <v/>
      </c>
      <c r="H25" s="70" t="inlineStr">
        <is>
          <t>Normal operation</t>
        </is>
      </c>
    </row>
    <row r="27" ht="20" customHeight="1">
      <c r="A27" s="2" t="inlineStr">
        <is>
          <t>PARTS ORDERING TRIGGERS (Telematics-Based)</t>
        </is>
      </c>
      <c r="B27" s="3" t="n"/>
      <c r="C27" s="3" t="n"/>
      <c r="D27" s="3" t="n"/>
      <c r="E27" s="3" t="n"/>
      <c r="F27" s="3" t="n"/>
      <c r="G27" s="3" t="n"/>
      <c r="H27" s="4" t="n"/>
    </row>
    <row r="28" ht="18" customHeight="1">
      <c r="A28" s="131" t="inlineStr">
        <is>
          <t>Trigger Condition</t>
        </is>
      </c>
      <c r="B28" s="131" t="inlineStr">
        <is>
          <t>Parts Action</t>
        </is>
      </c>
      <c r="C28" s="131" t="inlineStr">
        <is>
          <t>Live Count</t>
        </is>
      </c>
      <c r="D28" s="131" t="inlineStr">
        <is>
          <t>Order Signal</t>
        </is>
      </c>
    </row>
    <row r="29" ht="24" customHeight="1">
      <c r="A29" s="70" t="inlineStr">
        <is>
          <t>URGENT VOR count &gt; 3</t>
        </is>
      </c>
      <c r="B29" s="132" t="inlineStr">
        <is>
          <t>Add 5 × Coolant Pump (FUSO-CPM-033) + 1 × Battery Module (FUSO-BAT-032) to next inbound order</t>
        </is>
      </c>
      <c r="C29" s="133">
        <f>COUNTIF(G6:G25,"URGENT VOR")</f>
        <v/>
      </c>
      <c r="D29" s="128">
        <f>IF(H28&gt;3,"ORDER NOW","HOLD")</f>
        <v/>
      </c>
    </row>
    <row r="30" ht="24" customHeight="1">
      <c r="A30" s="70" t="inlineStr">
        <is>
          <t>WATCHLIST count &gt; 5</t>
        </is>
      </c>
      <c r="B30" s="132" t="inlineStr">
        <is>
          <t>Add 3 × Coolant Pump (FUSO-CPM-033) to watchlist replenishment</t>
        </is>
      </c>
      <c r="C30" s="133">
        <f>COUNTIF(G6:G25,"WATCHLIST")</f>
        <v/>
      </c>
      <c r="D30" s="128">
        <f>IF(H29&gt;5,"REPLENISH","MONITOR")</f>
        <v/>
      </c>
    </row>
    <row r="32" ht="44" customHeight="1">
      <c r="A32" s="134" t="inlineStr">
        <is>
          <t>HAZMAT NOTE: eCanter battery modules are Class 9 DG (UN3480/UN3481). Require SoC monitoring every 90 days at Jafza bonded warehouse. Return logistics pre-arranged with OEM for failed modules.</t>
        </is>
      </c>
    </row>
  </sheetData>
  <mergeCells count="5">
    <mergeCell ref="A4:H4"/>
    <mergeCell ref="A2:H2"/>
    <mergeCell ref="A1:H1"/>
    <mergeCell ref="A32:H32"/>
    <mergeCell ref="A27:H27"/>
  </mergeCells>
  <conditionalFormatting sqref="G6:G25">
    <cfRule type="expression" priority="1" dxfId="1" stopIfTrue="0">
      <formula>G6="URGENT VOR"</formula>
    </cfRule>
    <cfRule type="expression" priority="2" dxfId="2" stopIfTrue="0">
      <formula>G6="WATCHLIST"</formula>
    </cfRule>
    <cfRule type="expression" priority="3" dxfId="3" stopIfTrue="0">
      <formula>G6="NORMAL"</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7"/>
  <sheetViews>
    <sheetView showGridLines="0" workbookViewId="0">
      <pane ySplit="2" topLeftCell="A3" activePane="bottomLeft" state="frozen"/>
      <selection pane="bottomLeft" activeCell="A1" sqref="A1"/>
    </sheetView>
  </sheetViews>
  <sheetFormatPr baseColWidth="8" defaultRowHeight="15"/>
  <cols>
    <col width="16" customWidth="1" min="1" max="1"/>
    <col width="28" customWidth="1" min="2" max="2"/>
    <col width="20" customWidth="1" min="3" max="3"/>
    <col width="20" customWidth="1" min="4" max="4"/>
    <col width="20" customWidth="1" min="5" max="5"/>
    <col width="18" customWidth="1" min="6" max="6"/>
    <col width="18" customWidth="1" min="7" max="7"/>
    <col width="14" customWidth="1" min="8" max="8"/>
  </cols>
  <sheetData>
    <row r="1" ht="28" customHeight="1">
      <c r="A1" s="60" t="inlineStr">
        <is>
          <t>GPC HALBERSTADT TRANSITION — Bridge Stock Calculator (Q1 2026)</t>
        </is>
      </c>
    </row>
    <row r="3">
      <c r="A3" s="2" t="inlineStr">
        <is>
          <t>TRANSITION PARAMETERS (Blue = Editable)</t>
        </is>
      </c>
      <c r="B3" s="3" t="n"/>
      <c r="C3" s="3" t="n"/>
      <c r="D3" s="4" t="n"/>
    </row>
    <row r="4" ht="18" customHeight="1">
      <c r="A4" s="61" t="inlineStr">
        <is>
          <t>Japan Current LT (days)</t>
        </is>
      </c>
      <c r="B4" s="62" t="n">
        <v>45</v>
      </c>
    </row>
    <row r="5" ht="18" customHeight="1">
      <c r="A5" s="61" t="inlineStr">
        <is>
          <t>Japan LT Std Dev (days)</t>
        </is>
      </c>
      <c r="B5" s="62" t="n">
        <v>2</v>
      </c>
    </row>
    <row r="6" ht="18" customHeight="1">
      <c r="A6" s="61" t="inlineStr">
        <is>
          <t>New GPC LT — Germany (days)</t>
        </is>
      </c>
      <c r="B6" s="62" t="n">
        <v>30</v>
      </c>
    </row>
    <row r="7" ht="18" customHeight="1">
      <c r="A7" s="61" t="inlineStr">
        <is>
          <t>GPC LT Std Dev (days, transition)</t>
        </is>
      </c>
      <c r="B7" s="62" t="n">
        <v>10</v>
      </c>
    </row>
    <row r="8" ht="18" customHeight="1">
      <c r="A8" s="61" t="inlineStr">
        <is>
          <t>Transition Period (days)</t>
        </is>
      </c>
      <c r="B8" s="62" t="n">
        <v>90</v>
      </c>
    </row>
    <row r="9" ht="18" customHeight="1">
      <c r="A9" s="61" t="inlineStr">
        <is>
          <t>Safety Factor (multiplier)</t>
        </is>
      </c>
      <c r="B9" s="62" t="n">
        <v>1.3</v>
      </c>
    </row>
    <row r="11">
      <c r="A11" s="2" t="inlineStr">
        <is>
          <t>TOP 20 HIGH-RUNNER AX/BX SKUs — BRIDGE STOCK CALCULATION</t>
        </is>
      </c>
      <c r="B11" s="3" t="n"/>
      <c r="C11" s="3" t="n"/>
      <c r="D11" s="3" t="n"/>
      <c r="E11" s="3" t="n"/>
      <c r="F11" s="3" t="n"/>
      <c r="G11" s="3" t="n"/>
      <c r="H11" s="4" t="n"/>
    </row>
    <row r="12" ht="36" customHeight="1">
      <c r="A12" s="83" t="inlineStr">
        <is>
          <t>Part #</t>
        </is>
      </c>
      <c r="B12" s="83" t="inlineStr">
        <is>
          <t>Description</t>
        </is>
      </c>
      <c r="C12" s="83" t="inlineStr">
        <is>
          <t>Avg Daily Demand
(units)</t>
        </is>
      </c>
      <c r="D12" s="83" t="inlineStr">
        <is>
          <t>Current SS
(Japan formula)</t>
        </is>
      </c>
      <c r="E12" s="83" t="inlineStr">
        <is>
          <t>Bridge SS
(GPC Transition formula)</t>
        </is>
      </c>
      <c r="F12" s="83" t="inlineStr">
        <is>
          <t>Delta
(additional units)</t>
        </is>
      </c>
      <c r="G12" s="83" t="inlineStr">
        <is>
          <t>Bridge Cost (AED)</t>
        </is>
      </c>
      <c r="H12" s="83" t="inlineStr">
        <is>
          <t>Priority</t>
        </is>
      </c>
    </row>
    <row r="13" ht="16" customHeight="1">
      <c r="A13" s="135" t="inlineStr">
        <is>
          <t>FUSO-BRK-001</t>
        </is>
      </c>
      <c r="B13" s="135" t="inlineStr">
        <is>
          <t>Brake Pad Set Front</t>
        </is>
      </c>
      <c r="C13" s="136" t="n">
        <v>3.29</v>
      </c>
      <c r="D13" s="137">
        <f>ROUND(1.65*C13*$B$5*SQRT($B$4/7),0)</f>
        <v/>
      </c>
      <c r="E13" s="138">
        <f>ROUND(D13*($B$7/$B$5)*$B$9,0)</f>
        <v/>
      </c>
      <c r="F13" s="139">
        <f>E13-D13</f>
        <v/>
      </c>
      <c r="G13" s="140">
        <f>F13*280</f>
        <v/>
      </c>
      <c r="H13" s="141" t="inlineStr">
        <is>
          <t>CRITICAL</t>
        </is>
      </c>
    </row>
    <row r="14" ht="16" customHeight="1">
      <c r="A14" s="142" t="inlineStr">
        <is>
          <t>FUSO-OIL-002</t>
        </is>
      </c>
      <c r="B14" s="142" t="inlineStr">
        <is>
          <t>Oil Filter Standard</t>
        </is>
      </c>
      <c r="C14" s="143" t="n">
        <v>5</v>
      </c>
      <c r="D14" s="144">
        <f>ROUND(1.65*C14*$B$5*SQRT($B$4/7),0)</f>
        <v/>
      </c>
      <c r="E14" s="138">
        <f>ROUND(D14*($B$7/$B$5)*$B$9,0)</f>
        <v/>
      </c>
      <c r="F14" s="139">
        <f>E14-D14</f>
        <v/>
      </c>
      <c r="G14" s="93">
        <f>F14*180</f>
        <v/>
      </c>
      <c r="H14" s="141" t="inlineStr">
        <is>
          <t>CRITICAL</t>
        </is>
      </c>
    </row>
    <row r="15" ht="16" customHeight="1">
      <c r="A15" s="135" t="inlineStr">
        <is>
          <t>FUSO-AIR-003</t>
        </is>
      </c>
      <c r="B15" s="135" t="inlineStr">
        <is>
          <t>Air Filter Element</t>
        </is>
      </c>
      <c r="C15" s="136" t="n">
        <v>4.11</v>
      </c>
      <c r="D15" s="137">
        <f>ROUND(1.65*C15*$B$5*SQRT($B$4/7),0)</f>
        <v/>
      </c>
      <c r="E15" s="138">
        <f>ROUND(D15*($B$7/$B$5)*$B$9,0)</f>
        <v/>
      </c>
      <c r="F15" s="139">
        <f>E15-D15</f>
        <v/>
      </c>
      <c r="G15" s="140">
        <f>F15*240</f>
        <v/>
      </c>
      <c r="H15" s="141" t="inlineStr">
        <is>
          <t>CRITICAL</t>
        </is>
      </c>
    </row>
    <row r="16" ht="16" customHeight="1">
      <c r="A16" s="142" t="inlineStr">
        <is>
          <t>FUSO-BLT-004</t>
        </is>
      </c>
      <c r="B16" s="142" t="inlineStr">
        <is>
          <t>Drive Belt Set</t>
        </is>
      </c>
      <c r="C16" s="143" t="n">
        <v>2.63</v>
      </c>
      <c r="D16" s="144">
        <f>ROUND(1.65*C16*$B$5*SQRT($B$4/7),0)</f>
        <v/>
      </c>
      <c r="E16" s="138">
        <f>ROUND(D16*($B$7/$B$5)*$B$9,0)</f>
        <v/>
      </c>
      <c r="F16" s="139">
        <f>E16-D16</f>
        <v/>
      </c>
      <c r="G16" s="93">
        <f>F16*480</f>
        <v/>
      </c>
      <c r="H16" s="141" t="inlineStr">
        <is>
          <t>CRITICAL</t>
        </is>
      </c>
    </row>
    <row r="17" ht="16" customHeight="1">
      <c r="A17" s="135" t="inlineStr">
        <is>
          <t>FUSO-BRG-005</t>
        </is>
      </c>
      <c r="B17" s="135" t="inlineStr">
        <is>
          <t>Wheel Bearing Front</t>
        </is>
      </c>
      <c r="C17" s="136" t="n">
        <v>2.3</v>
      </c>
      <c r="D17" s="137">
        <f>ROUND(1.65*C17*$B$5*SQRT($B$4/7),0)</f>
        <v/>
      </c>
      <c r="E17" s="138">
        <f>ROUND(D17*($B$7/$B$5)*$B$9,0)</f>
        <v/>
      </c>
      <c r="F17" s="139">
        <f>E17-D17</f>
        <v/>
      </c>
      <c r="G17" s="140">
        <f>F17*720</f>
        <v/>
      </c>
      <c r="H17" s="141" t="inlineStr">
        <is>
          <t>CRITICAL</t>
        </is>
      </c>
    </row>
    <row r="18" ht="16" customHeight="1">
      <c r="A18" s="142" t="inlineStr">
        <is>
          <t>FUSO-CLT-006</t>
        </is>
      </c>
      <c r="B18" s="142" t="inlineStr">
        <is>
          <t>Clutch Disc Assy</t>
        </is>
      </c>
      <c r="C18" s="143" t="n">
        <v>1.64</v>
      </c>
      <c r="D18" s="144">
        <f>ROUND(1.65*C18*$B$5*SQRT($B$4/7),0)</f>
        <v/>
      </c>
      <c r="E18" s="138">
        <f>ROUND(D18*($B$7/$B$5)*$B$9,0)</f>
        <v/>
      </c>
      <c r="F18" s="139">
        <f>E18-D18</f>
        <v/>
      </c>
      <c r="G18" s="93">
        <f>F18*1680</f>
        <v/>
      </c>
      <c r="H18" s="141" t="inlineStr">
        <is>
          <t>CRITICAL</t>
        </is>
      </c>
    </row>
    <row r="19" ht="16" customHeight="1">
      <c r="A19" s="135" t="inlineStr">
        <is>
          <t>FUSO-SPK-008</t>
        </is>
      </c>
      <c r="B19" s="135" t="inlineStr">
        <is>
          <t>Spark Plug Set</t>
        </is>
      </c>
      <c r="C19" s="136" t="n">
        <v>6.58</v>
      </c>
      <c r="D19" s="137">
        <f>ROUND(1.65*C19*$B$5*SQRT($B$4/7),0)</f>
        <v/>
      </c>
      <c r="E19" s="138">
        <f>ROUND(D19*($B$7/$B$5)*$B$9,0)</f>
        <v/>
      </c>
      <c r="F19" s="139">
        <f>E19-D19</f>
        <v/>
      </c>
      <c r="G19" s="140">
        <f>F19*120</f>
        <v/>
      </c>
      <c r="H19" s="141" t="inlineStr">
        <is>
          <t>CRITICAL</t>
        </is>
      </c>
    </row>
    <row r="20" ht="16" customHeight="1">
      <c r="A20" s="142" t="inlineStr">
        <is>
          <t>FUSO-BRK-036</t>
        </is>
      </c>
      <c r="B20" s="142" t="inlineStr">
        <is>
          <t>Brake Pad Rear Set</t>
        </is>
      </c>
      <c r="C20" s="143" t="n">
        <v>2.96</v>
      </c>
      <c r="D20" s="144">
        <f>ROUND(1.65*C20*$B$5*SQRT($B$4/7),0)</f>
        <v/>
      </c>
      <c r="E20" s="138">
        <f>ROUND(D20*($B$7/$B$5)*$B$9,0)</f>
        <v/>
      </c>
      <c r="F20" s="139">
        <f>E20-D20</f>
        <v/>
      </c>
      <c r="G20" s="93">
        <f>F20*320</f>
        <v/>
      </c>
      <c r="H20" s="141" t="inlineStr">
        <is>
          <t>CRITICAL</t>
        </is>
      </c>
    </row>
    <row r="21" ht="16" customHeight="1">
      <c r="A21" s="135" t="inlineStr">
        <is>
          <t>FUSO-PCV-047</t>
        </is>
      </c>
      <c r="B21" s="135" t="inlineStr">
        <is>
          <t>PCV Valve</t>
        </is>
      </c>
      <c r="C21" s="136" t="n">
        <v>1.97</v>
      </c>
      <c r="D21" s="137">
        <f>ROUND(1.65*C21*$B$5*SQRT($B$4/7),0)</f>
        <v/>
      </c>
      <c r="E21" s="138">
        <f>ROUND(D21*($B$7/$B$5)*$B$9,0)</f>
        <v/>
      </c>
      <c r="F21" s="139">
        <f>E21-D21</f>
        <v/>
      </c>
      <c r="G21" s="140">
        <f>F21*180</f>
        <v/>
      </c>
      <c r="H21" s="145" t="inlineStr">
        <is>
          <t>HIGH</t>
        </is>
      </c>
    </row>
    <row r="22" ht="16" customHeight="1">
      <c r="A22" s="142" t="inlineStr">
        <is>
          <t>FUSO-FLT-048</t>
        </is>
      </c>
      <c r="B22" s="142" t="inlineStr">
        <is>
          <t>Fuel Filter</t>
        </is>
      </c>
      <c r="C22" s="143" t="n">
        <v>2.63</v>
      </c>
      <c r="D22" s="144">
        <f>ROUND(1.65*C22*$B$5*SQRT($B$4/7),0)</f>
        <v/>
      </c>
      <c r="E22" s="138">
        <f>ROUND(D22*($B$7/$B$5)*$B$9,0)</f>
        <v/>
      </c>
      <c r="F22" s="139">
        <f>E22-D22</f>
        <v/>
      </c>
      <c r="G22" s="93">
        <f>F22*220</f>
        <v/>
      </c>
      <c r="H22" s="145" t="inlineStr">
        <is>
          <t>HIGH</t>
        </is>
      </c>
    </row>
    <row r="23" ht="16" customHeight="1">
      <c r="A23" s="135" t="inlineStr">
        <is>
          <t>FUSO-RAD-009</t>
        </is>
      </c>
      <c r="B23" s="135" t="inlineStr">
        <is>
          <t>Radiator Hose Upper</t>
        </is>
      </c>
      <c r="C23" s="136" t="n">
        <v>1.97</v>
      </c>
      <c r="D23" s="137">
        <f>ROUND(1.65*C23*$B$5*SQRT($B$4/7),0)</f>
        <v/>
      </c>
      <c r="E23" s="138">
        <f>ROUND(D23*($B$7/$B$5)*$B$9,0)</f>
        <v/>
      </c>
      <c r="F23" s="139">
        <f>E23-D23</f>
        <v/>
      </c>
      <c r="G23" s="140">
        <f>F23*300</f>
        <v/>
      </c>
      <c r="H23" s="145" t="inlineStr">
        <is>
          <t>HIGH</t>
        </is>
      </c>
    </row>
    <row r="24" ht="16" customHeight="1">
      <c r="A24" s="142" t="inlineStr">
        <is>
          <t>FUSO-TRM-010</t>
        </is>
      </c>
      <c r="B24" s="142" t="inlineStr">
        <is>
          <t>Thermostat Assy</t>
        </is>
      </c>
      <c r="C24" s="143" t="n">
        <v>1.81</v>
      </c>
      <c r="D24" s="144">
        <f>ROUND(1.65*C24*$B$5*SQRT($B$4/7),0)</f>
        <v/>
      </c>
      <c r="E24" s="138">
        <f>ROUND(D24*($B$7/$B$5)*$B$9,0)</f>
        <v/>
      </c>
      <c r="F24" s="139">
        <f>E24-D24</f>
        <v/>
      </c>
      <c r="G24" s="93">
        <f>F24*380</f>
        <v/>
      </c>
      <c r="H24" s="145" t="inlineStr">
        <is>
          <t>HIGH</t>
        </is>
      </c>
    </row>
    <row r="25" ht="16" customHeight="1">
      <c r="A25" s="135" t="inlineStr">
        <is>
          <t>FUSO-LAM-046</t>
        </is>
      </c>
      <c r="B25" s="135" t="inlineStr">
        <is>
          <t>Lambda Sensor</t>
        </is>
      </c>
      <c r="C25" s="136" t="n">
        <v>0.99</v>
      </c>
      <c r="D25" s="137">
        <f>ROUND(1.65*C25*$B$5*SQRT($B$4/7),0)</f>
        <v/>
      </c>
      <c r="E25" s="138">
        <f>ROUND(D25*($B$7/$B$5)*$B$9,0)</f>
        <v/>
      </c>
      <c r="F25" s="139">
        <f>E25-D25</f>
        <v/>
      </c>
      <c r="G25" s="140">
        <f>F25*880</f>
        <v/>
      </c>
      <c r="H25" s="145" t="inlineStr">
        <is>
          <t>HIGH</t>
        </is>
      </c>
    </row>
    <row r="26" ht="16" customHeight="1">
      <c r="A26" s="142" t="inlineStr">
        <is>
          <t>FUSO-BRH-019</t>
        </is>
      </c>
      <c r="B26" s="142" t="inlineStr">
        <is>
          <t>Brake Hose Set</t>
        </is>
      </c>
      <c r="C26" s="143" t="n">
        <v>1.15</v>
      </c>
      <c r="D26" s="144">
        <f>ROUND(1.65*C26*$B$5*SQRT($B$4/7),0)</f>
        <v/>
      </c>
      <c r="E26" s="138">
        <f>ROUND(D26*($B$7/$B$5)*$B$9,0)</f>
        <v/>
      </c>
      <c r="F26" s="139">
        <f>E26-D26</f>
        <v/>
      </c>
      <c r="G26" s="93">
        <f>F26*560</f>
        <v/>
      </c>
      <c r="H26" s="145" t="inlineStr">
        <is>
          <t>HIGH</t>
        </is>
      </c>
    </row>
    <row r="27" ht="16" customHeight="1">
      <c r="A27" s="135" t="inlineStr">
        <is>
          <t>FUSO-CLR-020</t>
        </is>
      </c>
      <c r="B27" s="135" t="inlineStr">
        <is>
          <t>Coolant (20L drum)</t>
        </is>
      </c>
      <c r="C27" s="136" t="n">
        <v>1.48</v>
      </c>
      <c r="D27" s="137">
        <f>ROUND(1.65*C27*$B$5*SQRT($B$4/7),0)</f>
        <v/>
      </c>
      <c r="E27" s="138">
        <f>ROUND(D27*($B$7/$B$5)*$B$9,0)</f>
        <v/>
      </c>
      <c r="F27" s="139">
        <f>E27-D27</f>
        <v/>
      </c>
      <c r="G27" s="140">
        <f>F27*880</f>
        <v/>
      </c>
      <c r="H27" s="145" t="inlineStr">
        <is>
          <t>HIGH</t>
        </is>
      </c>
    </row>
    <row r="28" ht="16" customHeight="1">
      <c r="A28" s="142" t="inlineStr">
        <is>
          <t>FUSO-ALT-011</t>
        </is>
      </c>
      <c r="B28" s="142" t="inlineStr">
        <is>
          <t>Alternator 24V</t>
        </is>
      </c>
      <c r="C28" s="143" t="n">
        <v>0.66</v>
      </c>
      <c r="D28" s="144">
        <f>ROUND(1.65*C28*$B$5*SQRT($B$4/7),0)</f>
        <v/>
      </c>
      <c r="E28" s="138">
        <f>ROUND(D28*($B$7/$B$5)*$B$9,0)</f>
        <v/>
      </c>
      <c r="F28" s="139">
        <f>E28-D28</f>
        <v/>
      </c>
      <c r="G28" s="93">
        <f>F28*3800</f>
        <v/>
      </c>
      <c r="H28" s="145" t="inlineStr">
        <is>
          <t>HIGH</t>
        </is>
      </c>
    </row>
    <row r="29" ht="16" customHeight="1">
      <c r="A29" s="135" t="inlineStr">
        <is>
          <t>FUSO-SHK-012</t>
        </is>
      </c>
      <c r="B29" s="135" t="inlineStr">
        <is>
          <t>Shock Absorber Front</t>
        </is>
      </c>
      <c r="C29" s="136" t="n">
        <v>0.99</v>
      </c>
      <c r="D29" s="137">
        <f>ROUND(1.65*C29*$B$5*SQRT($B$4/7),0)</f>
        <v/>
      </c>
      <c r="E29" s="138">
        <f>ROUND(D29*($B$7/$B$5)*$B$9,0)</f>
        <v/>
      </c>
      <c r="F29" s="139">
        <f>E29-D29</f>
        <v/>
      </c>
      <c r="G29" s="140">
        <f>F29*2720</f>
        <v/>
      </c>
      <c r="H29" s="146" t="inlineStr">
        <is>
          <t>MEDIUM</t>
        </is>
      </c>
    </row>
    <row r="30" ht="16" customHeight="1">
      <c r="A30" s="142" t="inlineStr">
        <is>
          <t>FUSO-OIL-037</t>
        </is>
      </c>
      <c r="B30" s="142" t="inlineStr">
        <is>
          <t>Oil Filter HD</t>
        </is>
      </c>
      <c r="C30" s="143" t="n">
        <v>2.46</v>
      </c>
      <c r="D30" s="144">
        <f>ROUND(1.65*C30*$B$5*SQRT($B$4/7),0)</f>
        <v/>
      </c>
      <c r="E30" s="138">
        <f>ROUND(D30*($B$7/$B$5)*$B$9,0)</f>
        <v/>
      </c>
      <c r="F30" s="139">
        <f>E30-D30</f>
        <v/>
      </c>
      <c r="G30" s="93">
        <f>F30*220</f>
        <v/>
      </c>
      <c r="H30" s="146" t="inlineStr">
        <is>
          <t>MEDIUM</t>
        </is>
      </c>
    </row>
    <row r="31" ht="16" customHeight="1">
      <c r="A31" s="135" t="inlineStr">
        <is>
          <t>FUSO-AIR-038</t>
        </is>
      </c>
      <c r="B31" s="135" t="inlineStr">
        <is>
          <t>Air Filter HD</t>
        </is>
      </c>
      <c r="C31" s="136" t="n">
        <v>2.13</v>
      </c>
      <c r="D31" s="137">
        <f>ROUND(1.65*C31*$B$5*SQRT($B$4/7),0)</f>
        <v/>
      </c>
      <c r="E31" s="138">
        <f>ROUND(D31*($B$7/$B$5)*$B$9,0)</f>
        <v/>
      </c>
      <c r="F31" s="139">
        <f>E31-D31</f>
        <v/>
      </c>
      <c r="G31" s="140">
        <f>F31*280</f>
        <v/>
      </c>
      <c r="H31" s="146" t="inlineStr">
        <is>
          <t>MEDIUM</t>
        </is>
      </c>
    </row>
    <row r="32" ht="16" customHeight="1">
      <c r="A32" s="142" t="inlineStr">
        <is>
          <t>FUSO-DIF-018</t>
        </is>
      </c>
      <c r="B32" s="142" t="inlineStr">
        <is>
          <t>Differential Fluid Kit</t>
        </is>
      </c>
      <c r="C32" s="143" t="n">
        <v>1.32</v>
      </c>
      <c r="D32" s="144">
        <f>ROUND(1.65*C32*$B$5*SQRT($B$4/7),0)</f>
        <v/>
      </c>
      <c r="E32" s="138">
        <f>ROUND(D32*($B$7/$B$5)*$B$9,0)</f>
        <v/>
      </c>
      <c r="F32" s="139">
        <f>E32-D32</f>
        <v/>
      </c>
      <c r="G32" s="93">
        <f>F32*1160</f>
        <v/>
      </c>
      <c r="H32" s="146" t="inlineStr">
        <is>
          <t>MEDIUM</t>
        </is>
      </c>
    </row>
    <row r="34" ht="20" customHeight="1">
      <c r="A34" s="125" t="inlineStr">
        <is>
          <t>BRIDGE STOCK INVESTMENT SUMMARY</t>
        </is>
      </c>
    </row>
    <row r="35" ht="20" customHeight="1">
      <c r="A35" s="61" t="inlineStr">
        <is>
          <t>Total Additional Units Required</t>
        </is>
      </c>
      <c r="B35" s="3" t="n"/>
      <c r="C35" s="3" t="n"/>
      <c r="D35" s="3" t="n"/>
      <c r="E35" s="4" t="n"/>
      <c r="F35" s="126">
        <f>SUM(F13:F32)</f>
        <v/>
      </c>
      <c r="G35" s="3" t="n"/>
      <c r="H35" s="4" t="n"/>
    </row>
    <row r="36" ht="20" customHeight="1">
      <c r="A36" s="61" t="inlineStr">
        <is>
          <t>Total Bridge Stock Investment (AED)</t>
        </is>
      </c>
      <c r="B36" s="3" t="n"/>
      <c r="C36" s="3" t="n"/>
      <c r="D36" s="3" t="n"/>
      <c r="E36" s="4" t="n"/>
      <c r="F36" s="126">
        <f>SUM(G13:G32)</f>
        <v/>
      </c>
      <c r="G36" s="3" t="n"/>
      <c r="H36" s="4" t="n"/>
    </row>
    <row r="37" ht="20" customHeight="1">
      <c r="A37" s="61" t="inlineStr">
        <is>
          <t>Current SS Value (AED)</t>
        </is>
      </c>
      <c r="B37" s="3" t="n"/>
      <c r="C37" s="3" t="n"/>
      <c r="D37" s="3" t="n"/>
      <c r="E37" s="4" t="n"/>
      <c r="F37" s="126">
        <f>SUM(D13:D32)*100</f>
        <v/>
      </c>
      <c r="G37" s="3" t="n"/>
      <c r="H37" s="4" t="n"/>
    </row>
  </sheetData>
  <mergeCells count="10">
    <mergeCell ref="A35:E35"/>
    <mergeCell ref="F36:H36"/>
    <mergeCell ref="A3:D3"/>
    <mergeCell ref="F35:H35"/>
    <mergeCell ref="A11:H11"/>
    <mergeCell ref="A37:E37"/>
    <mergeCell ref="A36:E36"/>
    <mergeCell ref="A1:H1"/>
    <mergeCell ref="F37:H37"/>
    <mergeCell ref="A34:H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4"/>
  <sheetViews>
    <sheetView showGridLines="0" workbookViewId="0">
      <pane ySplit="2" topLeftCell="A3" activePane="bottomLeft" state="frozen"/>
      <selection pane="bottomLeft" activeCell="A1" sqref="A1"/>
    </sheetView>
  </sheetViews>
  <sheetFormatPr baseColWidth="8" defaultRowHeight="15"/>
  <cols>
    <col width="22" customWidth="1" min="1" max="1"/>
    <col width="20" customWidth="1" min="2" max="2"/>
    <col width="20" customWidth="1" min="3" max="3"/>
    <col width="20" customWidth="1" min="4" max="4"/>
    <col width="20" customWidth="1" min="5" max="5"/>
    <col width="20" customWidth="1" min="6" max="6"/>
    <col width="20" customWidth="1" min="7" max="7"/>
  </cols>
  <sheetData>
    <row r="1" ht="28" customHeight="1">
      <c r="A1" s="60" t="inlineStr">
        <is>
          <t>FUSO MEA S&amp;OP TEMPLATE — Monthly Cycle</t>
        </is>
      </c>
    </row>
    <row r="2" ht="36" customHeight="1">
      <c r="A2" s="134" t="inlineStr">
        <is>
          <t>TRACKING SIGNAL ALERT: If any part has Tracking Signal &gt; 4 or &lt; -4, flag for MANUAL INTERVENTION before this meeting. Check SBA_ENGINE sheet for active alerts.</t>
        </is>
      </c>
    </row>
    <row r="4" ht="30" customHeight="1">
      <c r="A4" s="147" t="inlineStr">
        <is>
          <t>STEP 1: DEMAND REVIEW</t>
        </is>
      </c>
    </row>
    <row r="5" ht="18" customHeight="1">
      <c r="A5" s="148" t="inlineStr">
        <is>
          <t>Action Item</t>
        </is>
      </c>
      <c r="B5" s="148" t="inlineStr">
        <is>
          <t>Owner</t>
        </is>
      </c>
      <c r="C5" s="148" t="inlineStr">
        <is>
          <t>Status</t>
        </is>
      </c>
      <c r="D5" s="148" t="inlineStr">
        <is>
          <t>Notes</t>
        </is>
      </c>
      <c r="E5" s="148" t="inlineStr">
        <is>
          <t>Deadline</t>
        </is>
      </c>
      <c r="F5" s="148" t="inlineStr">
        <is>
          <t>KPI Metric</t>
        </is>
      </c>
      <c r="G5" s="148" t="inlineStr">
        <is>
          <t>Target</t>
        </is>
      </c>
    </row>
    <row r="6" ht="18" customHeight="1">
      <c r="A6" s="149" t="inlineStr">
        <is>
          <t>Review SBA forecast vs actuals (Tracking Signal check)</t>
        </is>
      </c>
      <c r="B6" s="150" t="inlineStr"/>
      <c r="C6" s="150" t="inlineStr"/>
      <c r="D6" s="150" t="inlineStr"/>
      <c r="E6" s="150" t="inlineStr"/>
      <c r="F6" s="150" t="inlineStr"/>
      <c r="G6" s="150" t="inlineStr"/>
    </row>
    <row r="7" ht="18" customHeight="1">
      <c r="A7" s="151" t="inlineStr">
        <is>
          <t>Flag SKUs with TS &gt; 4 for manual review</t>
        </is>
      </c>
      <c r="B7" s="150" t="inlineStr"/>
      <c r="C7" s="150" t="inlineStr"/>
      <c r="D7" s="150" t="inlineStr"/>
      <c r="E7" s="150" t="inlineStr"/>
      <c r="F7" s="150" t="inlineStr"/>
      <c r="G7" s="150" t="inlineStr"/>
    </row>
    <row r="8" ht="18" customHeight="1">
      <c r="A8" s="149" t="inlineStr">
        <is>
          <t>Update ABC-XYZ classification for any moved SKUs</t>
        </is>
      </c>
      <c r="B8" s="150" t="inlineStr"/>
      <c r="C8" s="150" t="inlineStr"/>
      <c r="D8" s="150" t="inlineStr"/>
      <c r="E8" s="150" t="inlineStr"/>
      <c r="F8" s="150" t="inlineStr"/>
      <c r="G8" s="150" t="inlineStr"/>
    </row>
    <row r="9" ht="18" customHeight="1">
      <c r="A9" s="151" t="inlineStr">
        <is>
          <t>Review eCanter telematics triggers</t>
        </is>
      </c>
      <c r="B9" s="150" t="inlineStr"/>
      <c r="C9" s="150" t="inlineStr"/>
      <c r="D9" s="150" t="inlineStr"/>
      <c r="E9" s="150" t="inlineStr"/>
      <c r="F9" s="150" t="inlineStr"/>
      <c r="G9" s="150" t="inlineStr"/>
    </row>
    <row r="10" ht="18" customHeight="1">
      <c r="A10" s="149" t="inlineStr">
        <is>
          <t>Confirm 12-month rolling demand data in ABC_XYZ_MASTER</t>
        </is>
      </c>
      <c r="B10" s="150" t="inlineStr"/>
      <c r="C10" s="150" t="inlineStr"/>
      <c r="D10" s="150" t="inlineStr"/>
      <c r="E10" s="150" t="inlineStr"/>
      <c r="F10" s="150" t="inlineStr"/>
      <c r="G10" s="150" t="inlineStr"/>
    </row>
    <row r="12" ht="30" customHeight="1">
      <c r="A12" s="152" t="inlineStr">
        <is>
          <t>STEP 2: SUPPLY REVIEW</t>
        </is>
      </c>
    </row>
    <row r="13" ht="18" customHeight="1">
      <c r="A13" s="148" t="inlineStr">
        <is>
          <t>Action Item</t>
        </is>
      </c>
      <c r="B13" s="148" t="inlineStr">
        <is>
          <t>Owner</t>
        </is>
      </c>
      <c r="C13" s="148" t="inlineStr">
        <is>
          <t>Status</t>
        </is>
      </c>
      <c r="D13" s="148" t="inlineStr">
        <is>
          <t>Notes</t>
        </is>
      </c>
      <c r="E13" s="148" t="inlineStr">
        <is>
          <t>Deadline</t>
        </is>
      </c>
      <c r="F13" s="148" t="inlineStr">
        <is>
          <t>KPI Metric</t>
        </is>
      </c>
      <c r="G13" s="148" t="inlineStr">
        <is>
          <t>Target</t>
        </is>
      </c>
    </row>
    <row r="14" ht="18" customHeight="1">
      <c r="A14" s="149" t="inlineStr">
        <is>
          <t>Confirm Japan DC shipment schedule (45d LT)</t>
        </is>
      </c>
      <c r="B14" s="150" t="inlineStr"/>
      <c r="C14" s="150" t="inlineStr"/>
      <c r="D14" s="150" t="inlineStr"/>
      <c r="E14" s="150" t="inlineStr"/>
      <c r="F14" s="150" t="inlineStr"/>
      <c r="G14" s="150" t="inlineStr"/>
    </row>
    <row r="15" ht="18" customHeight="1">
      <c r="A15" s="151" t="inlineStr">
        <is>
          <t>Review GPC Halberstadt transition status and bridge stock levels</t>
        </is>
      </c>
      <c r="B15" s="150" t="inlineStr"/>
      <c r="C15" s="150" t="inlineStr"/>
      <c r="D15" s="150" t="inlineStr"/>
      <c r="E15" s="150" t="inlineStr"/>
      <c r="F15" s="150" t="inlineStr"/>
      <c r="G15" s="150" t="inlineStr"/>
    </row>
    <row r="16" ht="18" customHeight="1">
      <c r="A16" s="149" t="inlineStr">
        <is>
          <t>Check Chennai/India supply (21d LT) PO pipeline</t>
        </is>
      </c>
      <c r="B16" s="150" t="inlineStr"/>
      <c r="C16" s="150" t="inlineStr"/>
      <c r="D16" s="150" t="inlineStr"/>
      <c r="E16" s="150" t="inlineStr"/>
      <c r="F16" s="150" t="inlineStr"/>
      <c r="G16" s="150" t="inlineStr"/>
    </row>
    <row r="17" ht="18" customHeight="1">
      <c r="A17" s="151" t="inlineStr">
        <is>
          <t>Flag any VOR situations from ECANTER_CAUSAL sheet</t>
        </is>
      </c>
      <c r="B17" s="150" t="inlineStr"/>
      <c r="C17" s="150" t="inlineStr"/>
      <c r="D17" s="150" t="inlineStr"/>
      <c r="E17" s="150" t="inlineStr"/>
      <c r="F17" s="150" t="inlineStr"/>
      <c r="G17" s="150" t="inlineStr"/>
    </row>
    <row r="18" ht="18" customHeight="1">
      <c r="A18" s="149" t="inlineStr">
        <is>
          <t>Review SMOB disposition actions — BUNDLE/ROTATE/SCRAP progress</t>
        </is>
      </c>
      <c r="B18" s="150" t="inlineStr"/>
      <c r="C18" s="150" t="inlineStr"/>
      <c r="D18" s="150" t="inlineStr"/>
      <c r="E18" s="150" t="inlineStr"/>
      <c r="F18" s="150" t="inlineStr"/>
      <c r="G18" s="150" t="inlineStr"/>
    </row>
    <row r="20" ht="30" customHeight="1">
      <c r="A20" s="153" t="inlineStr">
        <is>
          <t>STEP 3: FINANCIAL RECONCILIATION</t>
        </is>
      </c>
    </row>
    <row r="21" ht="18" customHeight="1">
      <c r="A21" s="148" t="inlineStr">
        <is>
          <t>Action Item</t>
        </is>
      </c>
      <c r="B21" s="148" t="inlineStr">
        <is>
          <t>Owner</t>
        </is>
      </c>
      <c r="C21" s="148" t="inlineStr">
        <is>
          <t>Status</t>
        </is>
      </c>
      <c r="D21" s="148" t="inlineStr">
        <is>
          <t>Notes</t>
        </is>
      </c>
      <c r="E21" s="148" t="inlineStr">
        <is>
          <t>Deadline</t>
        </is>
      </c>
      <c r="F21" s="148" t="inlineStr">
        <is>
          <t>KPI Metric</t>
        </is>
      </c>
      <c r="G21" s="148" t="inlineStr">
        <is>
          <t>Target</t>
        </is>
      </c>
    </row>
    <row r="22" ht="18" customHeight="1">
      <c r="A22" s="149" t="inlineStr">
        <is>
          <t>Review working capital vs target (SMOB &lt; 5% of AED 38M portfolio)</t>
        </is>
      </c>
      <c r="B22" s="150" t="inlineStr"/>
      <c r="C22" s="150" t="inlineStr"/>
      <c r="D22" s="150" t="inlineStr"/>
      <c r="E22" s="150" t="inlineStr"/>
      <c r="F22" s="150" t="inlineStr"/>
      <c r="G22" s="150" t="inlineStr"/>
    </row>
    <row r="23" ht="18" customHeight="1">
      <c r="A23" s="151" t="inlineStr">
        <is>
          <t>Check SERVICE_LEVEL_OPTIMIZER for SL vs WC trade-off decisions</t>
        </is>
      </c>
      <c r="B23" s="150" t="inlineStr"/>
      <c r="C23" s="150" t="inlineStr"/>
      <c r="D23" s="150" t="inlineStr"/>
      <c r="E23" s="150" t="inlineStr"/>
      <c r="F23" s="150" t="inlineStr"/>
      <c r="G23" s="150" t="inlineStr"/>
    </row>
    <row r="24" ht="18" customHeight="1">
      <c r="A24" s="149" t="inlineStr">
        <is>
          <t>Review GPC bridge stock investment vs budget (GPC_BRIDGE_STOCK sheet)</t>
        </is>
      </c>
      <c r="B24" s="150" t="inlineStr"/>
      <c r="C24" s="150" t="inlineStr"/>
      <c r="D24" s="150" t="inlineStr"/>
      <c r="E24" s="150" t="inlineStr"/>
      <c r="F24" s="150" t="inlineStr"/>
      <c r="G24" s="150" t="inlineStr"/>
    </row>
    <row r="25" ht="18" customHeight="1">
      <c r="A25" s="151" t="inlineStr">
        <is>
          <t>Approve any write-downs from SMOB_DISPOSITION sheet</t>
        </is>
      </c>
      <c r="B25" s="150" t="inlineStr"/>
      <c r="C25" s="150" t="inlineStr"/>
      <c r="D25" s="150" t="inlineStr"/>
      <c r="E25" s="150" t="inlineStr"/>
      <c r="F25" s="150" t="inlineStr"/>
      <c r="G25" s="150" t="inlineStr"/>
    </row>
    <row r="26" ht="18" customHeight="1">
      <c r="A26" s="149" t="inlineStr">
        <is>
          <t>Report fill rate vs 95% target</t>
        </is>
      </c>
      <c r="B26" s="150" t="inlineStr"/>
      <c r="C26" s="150" t="inlineStr"/>
      <c r="D26" s="150" t="inlineStr"/>
      <c r="E26" s="150" t="inlineStr"/>
      <c r="F26" s="150" t="inlineStr"/>
      <c r="G26" s="150" t="inlineStr"/>
    </row>
    <row r="28" ht="30" customHeight="1">
      <c r="A28" s="154" t="inlineStr">
        <is>
          <t>STEP 4: EXECUTIVE DECISION</t>
        </is>
      </c>
    </row>
    <row r="29" ht="18" customHeight="1">
      <c r="A29" s="148" t="inlineStr">
        <is>
          <t>Action Item</t>
        </is>
      </c>
      <c r="B29" s="148" t="inlineStr">
        <is>
          <t>Owner</t>
        </is>
      </c>
      <c r="C29" s="148" t="inlineStr">
        <is>
          <t>Status</t>
        </is>
      </c>
      <c r="D29" s="148" t="inlineStr">
        <is>
          <t>Notes</t>
        </is>
      </c>
      <c r="E29" s="148" t="inlineStr">
        <is>
          <t>Deadline</t>
        </is>
      </c>
      <c r="F29" s="148" t="inlineStr">
        <is>
          <t>KPI Metric</t>
        </is>
      </c>
      <c r="G29" s="148" t="inlineStr">
        <is>
          <t>Target</t>
        </is>
      </c>
    </row>
    <row r="30" ht="18" customHeight="1">
      <c r="A30" s="149" t="inlineStr">
        <is>
          <t>Approve service level changes by ABC-XYZ class</t>
        </is>
      </c>
      <c r="B30" s="150" t="inlineStr"/>
      <c r="C30" s="150" t="inlineStr"/>
      <c r="D30" s="150" t="inlineStr"/>
      <c r="E30" s="150" t="inlineStr"/>
      <c r="F30" s="150" t="inlineStr"/>
      <c r="G30" s="150" t="inlineStr"/>
    </row>
    <row r="31" ht="18" customHeight="1">
      <c r="A31" s="151" t="inlineStr">
        <is>
          <t>Decision: any parts for emergency LIQUIDATE (CZ &gt;6 months no movement)</t>
        </is>
      </c>
      <c r="B31" s="150" t="inlineStr"/>
      <c r="C31" s="150" t="inlineStr"/>
      <c r="D31" s="150" t="inlineStr"/>
      <c r="E31" s="150" t="inlineStr"/>
      <c r="F31" s="150" t="inlineStr"/>
      <c r="G31" s="150" t="inlineStr"/>
    </row>
    <row r="32" ht="18" customHeight="1">
      <c r="A32" s="149" t="inlineStr">
        <is>
          <t>Approve GPC Halberstadt bridge stock purchase orders</t>
        </is>
      </c>
      <c r="B32" s="150" t="inlineStr"/>
      <c r="C32" s="150" t="inlineStr"/>
      <c r="D32" s="150" t="inlineStr"/>
      <c r="E32" s="150" t="inlineStr"/>
      <c r="F32" s="150" t="inlineStr"/>
      <c r="G32" s="150" t="inlineStr"/>
    </row>
    <row r="33" ht="18" customHeight="1">
      <c r="A33" s="151" t="inlineStr">
        <is>
          <t>Confirm SMOB reduction target progress</t>
        </is>
      </c>
      <c r="B33" s="150" t="inlineStr"/>
      <c r="C33" s="150" t="inlineStr"/>
      <c r="D33" s="150" t="inlineStr"/>
      <c r="E33" s="150" t="inlineStr"/>
      <c r="F33" s="150" t="inlineStr"/>
      <c r="G33" s="150" t="inlineStr"/>
    </row>
    <row r="34" ht="18" customHeight="1">
      <c r="A34" s="149" t="inlineStr">
        <is>
          <t>Set next month priorities: supply, disposition, telematics reviews</t>
        </is>
      </c>
      <c r="B34" s="150" t="inlineStr"/>
      <c r="C34" s="150" t="inlineStr"/>
      <c r="D34" s="150" t="inlineStr"/>
      <c r="E34" s="150" t="inlineStr"/>
      <c r="F34" s="150" t="inlineStr"/>
      <c r="G34" s="150" t="inlineStr"/>
    </row>
  </sheetData>
  <mergeCells count="6">
    <mergeCell ref="A1:G1"/>
    <mergeCell ref="A12:G12"/>
    <mergeCell ref="A4:G4"/>
    <mergeCell ref="A20:G20"/>
    <mergeCell ref="A2:G2"/>
    <mergeCell ref="A28:G2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64"/>
  <sheetViews>
    <sheetView showGridLines="0" zoomScale="90" workbookViewId="0">
      <pane xSplit="5" ySplit="2" topLeftCell="F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14" customWidth="1" min="3" max="3"/>
    <col width="10" customWidth="1" min="4" max="4"/>
    <col width="10"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s>
  <sheetData>
    <row r="1" ht="40" customHeight="1">
      <c r="A1" s="155" t="inlineStr">
        <is>
          <t>FUSO MEA — Monthly Demand Raw Data (Apr-25 to Mar-26) | Source for All Statistical Calculations</t>
        </is>
      </c>
    </row>
    <row r="2" ht="36" customHeight="1">
      <c r="A2" s="156" t="inlineStr">
        <is>
          <t>Part Number</t>
        </is>
      </c>
      <c r="B2" s="156" t="inlineStr">
        <is>
          <t>Part Description</t>
        </is>
      </c>
      <c r="C2" s="156" t="inlineStr">
        <is>
          <t>Model</t>
        </is>
      </c>
      <c r="D2" s="156" t="inlineStr">
        <is>
          <t>Origin</t>
        </is>
      </c>
      <c r="E2" s="156" t="inlineStr">
        <is>
          <t>Unit Cost
(AED)</t>
        </is>
      </c>
      <c r="F2" s="157" t="inlineStr">
        <is>
          <t>Apr-25</t>
        </is>
      </c>
      <c r="G2" s="157" t="inlineStr">
        <is>
          <t>May-25</t>
        </is>
      </c>
      <c r="H2" s="157" t="inlineStr">
        <is>
          <t>Jun-25</t>
        </is>
      </c>
      <c r="I2" s="157" t="inlineStr">
        <is>
          <t>Jul-25</t>
        </is>
      </c>
      <c r="J2" s="157" t="inlineStr">
        <is>
          <t>Aug-25</t>
        </is>
      </c>
      <c r="K2" s="157" t="inlineStr">
        <is>
          <t>Sep-25</t>
        </is>
      </c>
      <c r="L2" s="157" t="inlineStr">
        <is>
          <t>Oct-25</t>
        </is>
      </c>
      <c r="M2" s="157" t="inlineStr">
        <is>
          <t>Nov-25</t>
        </is>
      </c>
      <c r="N2" s="157" t="inlineStr">
        <is>
          <t>Dec-25</t>
        </is>
      </c>
      <c r="O2" s="157" t="inlineStr">
        <is>
          <t>Jan-26</t>
        </is>
      </c>
      <c r="P2" s="157" t="inlineStr">
        <is>
          <t>Feb-26</t>
        </is>
      </c>
      <c r="Q2" s="157" t="inlineStr">
        <is>
          <t>Mar-26</t>
        </is>
      </c>
      <c r="R2" s="156" t="inlineStr">
        <is>
          <t>Annual
Demand</t>
        </is>
      </c>
      <c r="S2" s="156" t="inlineStr">
        <is>
          <t>Mean
Monthly</t>
        </is>
      </c>
      <c r="T2" s="158" t="inlineStr">
        <is>
          <t>Std Dev
(STDEV formula)</t>
        </is>
      </c>
      <c r="U2" s="158" t="inlineStr">
        <is>
          <t>Coeff of
Variation (CV)</t>
        </is>
      </c>
      <c r="V2" s="159" t="inlineStr">
        <is>
          <t>ABC
Class</t>
        </is>
      </c>
      <c r="W2" s="160" t="inlineStr">
        <is>
          <t>XYZ
Class</t>
        </is>
      </c>
      <c r="X2" s="159" t="inlineStr">
        <is>
          <t>Combined
Class</t>
        </is>
      </c>
      <c r="Y2" s="156" t="inlineStr">
        <is>
          <t>Annual
Value (AED)</t>
        </is>
      </c>
      <c r="Z2" s="156" t="inlineStr">
        <is>
          <t>Cumul
Value %</t>
        </is>
      </c>
      <c r="AA2" s="159" t="inlineStr">
        <is>
          <t>ABC
Confirmed</t>
        </is>
      </c>
    </row>
    <row r="3" ht="20" customHeight="1">
      <c r="A3" s="161" t="inlineStr">
        <is>
          <t>FUSO-CLT-006</t>
        </is>
      </c>
      <c r="B3" s="162" t="inlineStr">
        <is>
          <t>Clutch Disc Assy</t>
        </is>
      </c>
      <c r="C3" s="163" t="inlineStr">
        <is>
          <t>Canter FE</t>
        </is>
      </c>
      <c r="D3" s="163" t="inlineStr">
        <is>
          <t>Japan</t>
        </is>
      </c>
      <c r="E3" s="164" t="n">
        <v>420</v>
      </c>
      <c r="F3" s="165" t="n">
        <v>49</v>
      </c>
      <c r="G3" s="165" t="n">
        <v>62</v>
      </c>
      <c r="H3" s="165" t="n">
        <v>44</v>
      </c>
      <c r="I3" s="165" t="n">
        <v>36</v>
      </c>
      <c r="J3" s="165" t="n">
        <v>52</v>
      </c>
      <c r="K3" s="165" t="n">
        <v>55</v>
      </c>
      <c r="L3" s="165" t="n">
        <v>53</v>
      </c>
      <c r="M3" s="165" t="n">
        <v>55</v>
      </c>
      <c r="N3" s="165" t="n">
        <v>50</v>
      </c>
      <c r="O3" s="165" t="n">
        <v>46</v>
      </c>
      <c r="P3" s="165" t="n">
        <v>45</v>
      </c>
      <c r="Q3" s="165" t="n">
        <v>49</v>
      </c>
      <c r="R3" s="166">
        <f>SUM(F3:Q3)</f>
        <v/>
      </c>
      <c r="S3" s="167">
        <f>R3/12</f>
        <v/>
      </c>
      <c r="T3" s="168">
        <f>STDEV(F3:Q3)</f>
        <v/>
      </c>
      <c r="U3" s="169">
        <f>IF(S3=0,9999,T3/S3)</f>
        <v/>
      </c>
      <c r="V3" s="170">
        <f>IF(Z3&lt;=0.7,"A",IF(Z3&lt;=0.9,"B","C"))</f>
        <v/>
      </c>
      <c r="W3" s="171">
        <f>IF(U3&lt;0.1,"X",IF(U3&lt;0.3,"Y","Z"))</f>
        <v/>
      </c>
      <c r="X3" s="172">
        <f>V3&amp;W3</f>
        <v/>
      </c>
      <c r="Y3" s="173">
        <f>E3*R3</f>
        <v/>
      </c>
      <c r="Z3" s="174">
        <f>Y3/SUM($Y$3:$Y$52)</f>
        <v/>
      </c>
      <c r="AA3" s="175">
        <f>IF(V3="A","✓ A-CLASS",IF(V3="B","✓ B-CLASS","✓ C-CLASS"))</f>
        <v/>
      </c>
    </row>
    <row r="4" ht="20" customHeight="1">
      <c r="A4" s="176" t="inlineStr">
        <is>
          <t>FUSO-SHK-012</t>
        </is>
      </c>
      <c r="B4" s="177" t="inlineStr">
        <is>
          <t>Shock Absorber Front</t>
        </is>
      </c>
      <c r="C4" s="178" t="inlineStr">
        <is>
          <t>Fighter FM</t>
        </is>
      </c>
      <c r="D4" s="178" t="inlineStr">
        <is>
          <t>Japan</t>
        </is>
      </c>
      <c r="E4" s="179" t="n">
        <v>680</v>
      </c>
      <c r="F4" s="180" t="n">
        <v>0</v>
      </c>
      <c r="G4" s="165" t="n">
        <v>50</v>
      </c>
      <c r="H4" s="180" t="n">
        <v>0</v>
      </c>
      <c r="I4" s="180" t="n">
        <v>0</v>
      </c>
      <c r="J4" s="165" t="n">
        <v>47</v>
      </c>
      <c r="K4" s="165" t="n">
        <v>60</v>
      </c>
      <c r="L4" s="165" t="n">
        <v>54</v>
      </c>
      <c r="M4" s="180" t="n">
        <v>0</v>
      </c>
      <c r="N4" s="180" t="n">
        <v>0</v>
      </c>
      <c r="O4" s="165" t="n">
        <v>99</v>
      </c>
      <c r="P4" s="165" t="n">
        <v>148</v>
      </c>
      <c r="Q4" s="180" t="n">
        <v>0</v>
      </c>
      <c r="R4" s="166">
        <f>SUM(F4:Q4)</f>
        <v/>
      </c>
      <c r="S4" s="167">
        <f>R4/12</f>
        <v/>
      </c>
      <c r="T4" s="168">
        <f>STDEV(F4:Q4)</f>
        <v/>
      </c>
      <c r="U4" s="169">
        <f>IF(S4=0,9999,T4/S4)</f>
        <v/>
      </c>
      <c r="V4" s="170">
        <f>IF(Z4&lt;=0.7,"A",IF(Z4&lt;=0.9,"B","C"))</f>
        <v/>
      </c>
      <c r="W4" s="171">
        <f>IF(U4&lt;0.1,"X",IF(U4&lt;0.3,"Y","Z"))</f>
        <v/>
      </c>
      <c r="X4" s="172">
        <f>V4&amp;W4</f>
        <v/>
      </c>
      <c r="Y4" s="173">
        <f>E4*R4</f>
        <v/>
      </c>
      <c r="Z4" s="174">
        <f>Y4/SUM($Y$3:$Y$52)</f>
        <v/>
      </c>
      <c r="AA4" s="175">
        <f>IF(V4="A","✓ A-CLASS",IF(V4="B","✓ B-CLASS","✓ C-CLASS"))</f>
        <v/>
      </c>
    </row>
    <row r="5" ht="20" customHeight="1">
      <c r="A5" s="161" t="inlineStr">
        <is>
          <t>FUSO-ALT-011</t>
        </is>
      </c>
      <c r="B5" s="162" t="inlineStr">
        <is>
          <t>Alternator 24V</t>
        </is>
      </c>
      <c r="C5" s="163" t="inlineStr">
        <is>
          <t>Fighter FM</t>
        </is>
      </c>
      <c r="D5" s="163" t="inlineStr">
        <is>
          <t>Japan</t>
        </is>
      </c>
      <c r="E5" s="164" t="n">
        <v>950</v>
      </c>
      <c r="F5" s="165" t="n">
        <v>44</v>
      </c>
      <c r="G5" s="180" t="n">
        <v>0</v>
      </c>
      <c r="H5" s="165" t="n">
        <v>65</v>
      </c>
      <c r="I5" s="165" t="n">
        <v>15</v>
      </c>
      <c r="J5" s="180" t="n">
        <v>0</v>
      </c>
      <c r="K5" s="165" t="n">
        <v>27</v>
      </c>
      <c r="L5" s="165" t="n">
        <v>26</v>
      </c>
      <c r="M5" s="180" t="n">
        <v>0</v>
      </c>
      <c r="N5" s="180" t="n">
        <v>0</v>
      </c>
      <c r="O5" s="180" t="n">
        <v>0</v>
      </c>
      <c r="P5" s="165" t="n">
        <v>63</v>
      </c>
      <c r="Q5" s="180" t="n">
        <v>0</v>
      </c>
      <c r="R5" s="166">
        <f>SUM(F5:Q5)</f>
        <v/>
      </c>
      <c r="S5" s="167">
        <f>R5/12</f>
        <v/>
      </c>
      <c r="T5" s="168">
        <f>STDEV(F5:Q5)</f>
        <v/>
      </c>
      <c r="U5" s="169">
        <f>IF(S5=0,9999,T5/S5)</f>
        <v/>
      </c>
      <c r="V5" s="170">
        <f>IF(Z5&lt;=0.7,"A",IF(Z5&lt;=0.9,"B","C"))</f>
        <v/>
      </c>
      <c r="W5" s="171">
        <f>IF(U5&lt;0.1,"X",IF(U5&lt;0.3,"Y","Z"))</f>
        <v/>
      </c>
      <c r="X5" s="172">
        <f>V5&amp;W5</f>
        <v/>
      </c>
      <c r="Y5" s="173">
        <f>E5*R5</f>
        <v/>
      </c>
      <c r="Z5" s="174">
        <f>Y5/SUM($Y$3:$Y$52)</f>
        <v/>
      </c>
      <c r="AA5" s="175">
        <f>IF(V5="A","✓ A-CLASS",IF(V5="B","✓ B-CLASS","✓ C-CLASS"))</f>
        <v/>
      </c>
    </row>
    <row r="6" ht="20" customHeight="1">
      <c r="A6" s="176" t="inlineStr">
        <is>
          <t>FUSO-INJ-013</t>
        </is>
      </c>
      <c r="B6" s="177" t="inlineStr">
        <is>
          <t>Injector Nozzle</t>
        </is>
      </c>
      <c r="C6" s="178" t="inlineStr">
        <is>
          <t>Fighter FM</t>
        </is>
      </c>
      <c r="D6" s="178" t="inlineStr">
        <is>
          <t>Japan</t>
        </is>
      </c>
      <c r="E6" s="179" t="n">
        <v>1200</v>
      </c>
      <c r="F6" s="180" t="n">
        <v>0</v>
      </c>
      <c r="G6" s="180" t="n">
        <v>0</v>
      </c>
      <c r="H6" s="165" t="n">
        <v>34</v>
      </c>
      <c r="I6" s="180" t="n">
        <v>0</v>
      </c>
      <c r="J6" s="165" t="n">
        <v>11</v>
      </c>
      <c r="K6" s="165" t="n">
        <v>49</v>
      </c>
      <c r="L6" s="165" t="n">
        <v>8</v>
      </c>
      <c r="M6" s="180" t="n">
        <v>0</v>
      </c>
      <c r="N6" s="180" t="n">
        <v>0</v>
      </c>
      <c r="O6" s="165" t="n">
        <v>28</v>
      </c>
      <c r="P6" s="165" t="n">
        <v>25</v>
      </c>
      <c r="Q6" s="165" t="n">
        <v>26</v>
      </c>
      <c r="R6" s="166">
        <f>SUM(F6:Q6)</f>
        <v/>
      </c>
      <c r="S6" s="167">
        <f>R6/12</f>
        <v/>
      </c>
      <c r="T6" s="168">
        <f>STDEV(F6:Q6)</f>
        <v/>
      </c>
      <c r="U6" s="169">
        <f>IF(S6=0,9999,T6/S6)</f>
        <v/>
      </c>
      <c r="V6" s="170">
        <f>IF(Z6&lt;=0.7,"A",IF(Z6&lt;=0.9,"B","C"))</f>
        <v/>
      </c>
      <c r="W6" s="171">
        <f>IF(U6&lt;0.1,"X",IF(U6&lt;0.3,"Y","Z"))</f>
        <v/>
      </c>
      <c r="X6" s="172">
        <f>V6&amp;W6</f>
        <v/>
      </c>
      <c r="Y6" s="173">
        <f>E6*R6</f>
        <v/>
      </c>
      <c r="Z6" s="174">
        <f>Y6/SUM($Y$3:$Y$52)</f>
        <v/>
      </c>
      <c r="AA6" s="175">
        <f>IF(V6="A","✓ A-CLASS",IF(V6="B","✓ B-CLASS","✓ C-CLASS"))</f>
        <v/>
      </c>
    </row>
    <row r="7" ht="20" customHeight="1">
      <c r="A7" s="161" t="inlineStr">
        <is>
          <t>FUSO-STR-016</t>
        </is>
      </c>
      <c r="B7" s="162" t="inlineStr">
        <is>
          <t>Steering Pump</t>
        </is>
      </c>
      <c r="C7" s="163" t="inlineStr">
        <is>
          <t>Fighter FM</t>
        </is>
      </c>
      <c r="D7" s="163" t="inlineStr">
        <is>
          <t>Japan</t>
        </is>
      </c>
      <c r="E7" s="164" t="n">
        <v>1100</v>
      </c>
      <c r="F7" s="180" t="n">
        <v>0</v>
      </c>
      <c r="G7" s="180" t="n">
        <v>0</v>
      </c>
      <c r="H7" s="165" t="n">
        <v>166</v>
      </c>
      <c r="I7" s="180" t="n">
        <v>0</v>
      </c>
      <c r="J7" s="180" t="n">
        <v>0</v>
      </c>
      <c r="K7" s="180" t="n">
        <v>0</v>
      </c>
      <c r="L7" s="180" t="n">
        <v>0</v>
      </c>
      <c r="M7" s="180" t="n">
        <v>0</v>
      </c>
      <c r="N7" s="165" t="n">
        <v>2</v>
      </c>
      <c r="O7" s="180" t="n">
        <v>0</v>
      </c>
      <c r="P7" s="180" t="n">
        <v>0</v>
      </c>
      <c r="Q7" s="180" t="n">
        <v>0</v>
      </c>
      <c r="R7" s="166">
        <f>SUM(F7:Q7)</f>
        <v/>
      </c>
      <c r="S7" s="167">
        <f>R7/12</f>
        <v/>
      </c>
      <c r="T7" s="168">
        <f>STDEV(F7:Q7)</f>
        <v/>
      </c>
      <c r="U7" s="169">
        <f>IF(S7=0,9999,T7/S7)</f>
        <v/>
      </c>
      <c r="V7" s="170">
        <f>IF(Z7&lt;=0.7,"A",IF(Z7&lt;=0.9,"B","C"))</f>
        <v/>
      </c>
      <c r="W7" s="171">
        <f>IF(U7&lt;0.1,"X",IF(U7&lt;0.3,"Y","Z"))</f>
        <v/>
      </c>
      <c r="X7" s="172">
        <f>V7&amp;W7</f>
        <v/>
      </c>
      <c r="Y7" s="173">
        <f>E7*R7</f>
        <v/>
      </c>
      <c r="Z7" s="174">
        <f>Y7/SUM($Y$3:$Y$52)</f>
        <v/>
      </c>
      <c r="AA7" s="175">
        <f>IF(V7="A","✓ A-CLASS",IF(V7="B","✓ B-CLASS","✓ C-CLASS"))</f>
        <v/>
      </c>
    </row>
    <row r="8" ht="20" customHeight="1">
      <c r="A8" s="176" t="inlineStr">
        <is>
          <t>FUSO-WPM-007</t>
        </is>
      </c>
      <c r="B8" s="177" t="inlineStr">
        <is>
          <t>Water Pump Assy</t>
        </is>
      </c>
      <c r="C8" s="178" t="inlineStr">
        <is>
          <t>Canter FE</t>
        </is>
      </c>
      <c r="D8" s="178" t="inlineStr">
        <is>
          <t>Japan</t>
        </is>
      </c>
      <c r="E8" s="179" t="n">
        <v>380</v>
      </c>
      <c r="F8" s="165" t="n">
        <v>50</v>
      </c>
      <c r="G8" s="165" t="n">
        <v>44</v>
      </c>
      <c r="H8" s="165" t="n">
        <v>49</v>
      </c>
      <c r="I8" s="165" t="n">
        <v>47</v>
      </c>
      <c r="J8" s="165" t="n">
        <v>38</v>
      </c>
      <c r="K8" s="165" t="n">
        <v>40</v>
      </c>
      <c r="L8" s="165" t="n">
        <v>38</v>
      </c>
      <c r="M8" s="165" t="n">
        <v>47</v>
      </c>
      <c r="N8" s="165" t="n">
        <v>51</v>
      </c>
      <c r="O8" s="165" t="n">
        <v>33</v>
      </c>
      <c r="P8" s="165" t="n">
        <v>48</v>
      </c>
      <c r="Q8" s="165" t="n">
        <v>42</v>
      </c>
      <c r="R8" s="166">
        <f>SUM(F8:Q8)</f>
        <v/>
      </c>
      <c r="S8" s="167">
        <f>R8/12</f>
        <v/>
      </c>
      <c r="T8" s="168">
        <f>STDEV(F8:Q8)</f>
        <v/>
      </c>
      <c r="U8" s="169">
        <f>IF(S8=0,9999,T8/S8)</f>
        <v/>
      </c>
      <c r="V8" s="170">
        <f>IF(Z8&lt;=0.7,"A",IF(Z8&lt;=0.9,"B","C"))</f>
        <v/>
      </c>
      <c r="W8" s="171">
        <f>IF(U8&lt;0.1,"X",IF(U8&lt;0.3,"Y","Z"))</f>
        <v/>
      </c>
      <c r="X8" s="172">
        <f>V8&amp;W8</f>
        <v/>
      </c>
      <c r="Y8" s="173">
        <f>E8*R8</f>
        <v/>
      </c>
      <c r="Z8" s="174">
        <f>Y8/SUM($Y$3:$Y$52)</f>
        <v/>
      </c>
      <c r="AA8" s="175">
        <f>IF(V8="A","✓ A-CLASS",IF(V8="B","✓ B-CLASS","✓ C-CLASS"))</f>
        <v/>
      </c>
    </row>
    <row r="9" ht="20" customHeight="1">
      <c r="A9" s="161" t="inlineStr">
        <is>
          <t>FUSO-TRB-021</t>
        </is>
      </c>
      <c r="B9" s="162" t="inlineStr">
        <is>
          <t>Turbocharger Assy</t>
        </is>
      </c>
      <c r="C9" s="163" t="inlineStr">
        <is>
          <t>Super Great V</t>
        </is>
      </c>
      <c r="D9" s="163" t="inlineStr">
        <is>
          <t>Japan</t>
        </is>
      </c>
      <c r="E9" s="164" t="n">
        <v>3800</v>
      </c>
      <c r="F9" s="180" t="n">
        <v>0</v>
      </c>
      <c r="G9" s="165" t="n">
        <v>3</v>
      </c>
      <c r="H9" s="165" t="n">
        <v>6</v>
      </c>
      <c r="I9" s="165" t="n">
        <v>1</v>
      </c>
      <c r="J9" s="180" t="n">
        <v>0</v>
      </c>
      <c r="K9" s="165" t="n">
        <v>11</v>
      </c>
      <c r="L9" s="165" t="n">
        <v>18</v>
      </c>
      <c r="M9" s="180" t="n">
        <v>0</v>
      </c>
      <c r="N9" s="180" t="n">
        <v>0</v>
      </c>
      <c r="O9" s="180" t="n">
        <v>0</v>
      </c>
      <c r="P9" s="180" t="n">
        <v>0</v>
      </c>
      <c r="Q9" s="165" t="n">
        <v>9</v>
      </c>
      <c r="R9" s="166">
        <f>SUM(F9:Q9)</f>
        <v/>
      </c>
      <c r="S9" s="167">
        <f>R9/12</f>
        <v/>
      </c>
      <c r="T9" s="168">
        <f>STDEV(F9:Q9)</f>
        <v/>
      </c>
      <c r="U9" s="169">
        <f>IF(S9=0,9999,T9/S9)</f>
        <v/>
      </c>
      <c r="V9" s="170">
        <f>IF(Z9&lt;=0.7,"A",IF(Z9&lt;=0.9,"B","C"))</f>
        <v/>
      </c>
      <c r="W9" s="171">
        <f>IF(U9&lt;0.1,"X",IF(U9&lt;0.3,"Y","Z"))</f>
        <v/>
      </c>
      <c r="X9" s="172">
        <f>V9&amp;W9</f>
        <v/>
      </c>
      <c r="Y9" s="173">
        <f>E9*R9</f>
        <v/>
      </c>
      <c r="Z9" s="174">
        <f>Y9/SUM($Y$3:$Y$52)</f>
        <v/>
      </c>
      <c r="AA9" s="175">
        <f>IF(V9="A","✓ A-CLASS",IF(V9="B","✓ B-CLASS","✓ C-CLASS"))</f>
        <v/>
      </c>
    </row>
    <row r="10" ht="20" customHeight="1">
      <c r="A10" s="176" t="inlineStr">
        <is>
          <t>FUSO-FUL-017</t>
        </is>
      </c>
      <c r="B10" s="177" t="inlineStr">
        <is>
          <t>Fuel Pump Assy</t>
        </is>
      </c>
      <c r="C10" s="178" t="inlineStr">
        <is>
          <t>Fighter FM</t>
        </is>
      </c>
      <c r="D10" s="178" t="inlineStr">
        <is>
          <t>Japan</t>
        </is>
      </c>
      <c r="E10" s="179" t="n">
        <v>780</v>
      </c>
      <c r="F10" s="180" t="n">
        <v>0</v>
      </c>
      <c r="G10" s="165" t="n">
        <v>59</v>
      </c>
      <c r="H10" s="165" t="n">
        <v>37</v>
      </c>
      <c r="I10" s="180" t="n">
        <v>0</v>
      </c>
      <c r="J10" s="180" t="n">
        <v>0</v>
      </c>
      <c r="K10" s="180" t="n">
        <v>0</v>
      </c>
      <c r="L10" s="180" t="n">
        <v>0</v>
      </c>
      <c r="M10" s="180" t="n">
        <v>0</v>
      </c>
      <c r="N10" s="180" t="n">
        <v>0</v>
      </c>
      <c r="O10" s="165" t="n">
        <v>132</v>
      </c>
      <c r="P10" s="180" t="n">
        <v>0</v>
      </c>
      <c r="Q10" s="180" t="n">
        <v>0</v>
      </c>
      <c r="R10" s="166">
        <f>SUM(F10:Q10)</f>
        <v/>
      </c>
      <c r="S10" s="167">
        <f>R10/12</f>
        <v/>
      </c>
      <c r="T10" s="168">
        <f>STDEV(F10:Q10)</f>
        <v/>
      </c>
      <c r="U10" s="169">
        <f>IF(S10=0,9999,T10/S10)</f>
        <v/>
      </c>
      <c r="V10" s="170">
        <f>IF(Z10&lt;=0.7,"A",IF(Z10&lt;=0.9,"B","C"))</f>
        <v/>
      </c>
      <c r="W10" s="171">
        <f>IF(U10&lt;0.1,"X",IF(U10&lt;0.3,"Y","Z"))</f>
        <v/>
      </c>
      <c r="X10" s="172">
        <f>V10&amp;W10</f>
        <v/>
      </c>
      <c r="Y10" s="173">
        <f>E10*R10</f>
        <v/>
      </c>
      <c r="Z10" s="174">
        <f>Y10/SUM($Y$3:$Y$52)</f>
        <v/>
      </c>
      <c r="AA10" s="175">
        <f>IF(V10="A","✓ A-CLASS",IF(V10="B","✓ B-CLASS","✓ C-CLASS"))</f>
        <v/>
      </c>
    </row>
    <row r="11" ht="20" customHeight="1">
      <c r="A11" s="161" t="inlineStr">
        <is>
          <t>FUSO-EXH-015</t>
        </is>
      </c>
      <c r="B11" s="162" t="inlineStr">
        <is>
          <t>Exhaust Manifold</t>
        </is>
      </c>
      <c r="C11" s="163" t="inlineStr">
        <is>
          <t>Fighter FM</t>
        </is>
      </c>
      <c r="D11" s="163" t="inlineStr">
        <is>
          <t>Japan</t>
        </is>
      </c>
      <c r="E11" s="164" t="n">
        <v>840</v>
      </c>
      <c r="F11" s="165" t="n">
        <v>53</v>
      </c>
      <c r="G11" s="180" t="n">
        <v>0</v>
      </c>
      <c r="H11" s="165" t="n">
        <v>39</v>
      </c>
      <c r="I11" s="180" t="n">
        <v>0</v>
      </c>
      <c r="J11" s="180" t="n">
        <v>0</v>
      </c>
      <c r="K11" s="180" t="n">
        <v>0</v>
      </c>
      <c r="L11" s="165" t="n">
        <v>60</v>
      </c>
      <c r="M11" s="180" t="n">
        <v>0</v>
      </c>
      <c r="N11" s="180" t="n">
        <v>0</v>
      </c>
      <c r="O11" s="180" t="n">
        <v>0</v>
      </c>
      <c r="P11" s="180" t="n">
        <v>0</v>
      </c>
      <c r="Q11" s="180" t="n">
        <v>0</v>
      </c>
      <c r="R11" s="166">
        <f>SUM(F11:Q11)</f>
        <v/>
      </c>
      <c r="S11" s="167">
        <f>R11/12</f>
        <v/>
      </c>
      <c r="T11" s="168">
        <f>STDEV(F11:Q11)</f>
        <v/>
      </c>
      <c r="U11" s="169">
        <f>IF(S11=0,9999,T11/S11)</f>
        <v/>
      </c>
      <c r="V11" s="170">
        <f>IF(Z11&lt;=0.7,"A",IF(Z11&lt;=0.9,"B","C"))</f>
        <v/>
      </c>
      <c r="W11" s="171">
        <f>IF(U11&lt;0.1,"X",IF(U11&lt;0.3,"Y","Z"))</f>
        <v/>
      </c>
      <c r="X11" s="172">
        <f>V11&amp;W11</f>
        <v/>
      </c>
      <c r="Y11" s="173">
        <f>E11*R11</f>
        <v/>
      </c>
      <c r="Z11" s="174">
        <f>Y11/SUM($Y$3:$Y$52)</f>
        <v/>
      </c>
      <c r="AA11" s="175">
        <f>IF(V11="A","✓ A-CLASS",IF(V11="B","✓ B-CLASS","✓ C-CLASS"))</f>
        <v/>
      </c>
    </row>
    <row r="12" ht="20" customHeight="1">
      <c r="A12" s="176" t="inlineStr">
        <is>
          <t>FUSO-TRN-014</t>
        </is>
      </c>
      <c r="B12" s="177" t="inlineStr">
        <is>
          <t>Transmission Mount</t>
        </is>
      </c>
      <c r="C12" s="178" t="inlineStr">
        <is>
          <t>Fighter FM</t>
        </is>
      </c>
      <c r="D12" s="178" t="inlineStr">
        <is>
          <t>Japan</t>
        </is>
      </c>
      <c r="E12" s="179" t="n">
        <v>560</v>
      </c>
      <c r="F12" s="180" t="n">
        <v>0</v>
      </c>
      <c r="G12" s="180" t="n">
        <v>0</v>
      </c>
      <c r="H12" s="180" t="n">
        <v>0</v>
      </c>
      <c r="I12" s="165" t="n">
        <v>71</v>
      </c>
      <c r="J12" s="180" t="n">
        <v>0</v>
      </c>
      <c r="K12" s="180" t="n">
        <v>0</v>
      </c>
      <c r="L12" s="165" t="n">
        <v>24</v>
      </c>
      <c r="M12" s="165" t="n">
        <v>83</v>
      </c>
      <c r="N12" s="165" t="n">
        <v>44</v>
      </c>
      <c r="O12" s="165" t="n">
        <v>81</v>
      </c>
      <c r="P12" s="165" t="n">
        <v>63</v>
      </c>
      <c r="Q12" s="180" t="n">
        <v>0</v>
      </c>
      <c r="R12" s="166">
        <f>SUM(F12:Q12)</f>
        <v/>
      </c>
      <c r="S12" s="167">
        <f>R12/12</f>
        <v/>
      </c>
      <c r="T12" s="168">
        <f>STDEV(F12:Q12)</f>
        <v/>
      </c>
      <c r="U12" s="169">
        <f>IF(S12=0,9999,T12/S12)</f>
        <v/>
      </c>
      <c r="V12" s="170">
        <f>IF(Z12&lt;=0.7,"A",IF(Z12&lt;=0.9,"B","C"))</f>
        <v/>
      </c>
      <c r="W12" s="171">
        <f>IF(U12&lt;0.1,"X",IF(U12&lt;0.3,"Y","Z"))</f>
        <v/>
      </c>
      <c r="X12" s="172">
        <f>V12&amp;W12</f>
        <v/>
      </c>
      <c r="Y12" s="173">
        <f>E12*R12</f>
        <v/>
      </c>
      <c r="Z12" s="174">
        <f>Y12/SUM($Y$3:$Y$52)</f>
        <v/>
      </c>
      <c r="AA12" s="175">
        <f>IF(V12="A","✓ A-CLASS",IF(V12="B","✓ B-CLASS","✓ C-CLASS"))</f>
        <v/>
      </c>
    </row>
    <row r="13" ht="20" customHeight="1">
      <c r="A13" s="161" t="inlineStr">
        <is>
          <t>FUSO-BRG-005</t>
        </is>
      </c>
      <c r="B13" s="162" t="inlineStr">
        <is>
          <t>Wheel Bearing Front</t>
        </is>
      </c>
      <c r="C13" s="163" t="inlineStr">
        <is>
          <t>Canter FE</t>
        </is>
      </c>
      <c r="D13" s="163" t="inlineStr">
        <is>
          <t>Japan</t>
        </is>
      </c>
      <c r="E13" s="164" t="n">
        <v>180</v>
      </c>
      <c r="F13" s="165" t="n">
        <v>59</v>
      </c>
      <c r="G13" s="165" t="n">
        <v>69</v>
      </c>
      <c r="H13" s="165" t="n">
        <v>76</v>
      </c>
      <c r="I13" s="165" t="n">
        <v>78</v>
      </c>
      <c r="J13" s="165" t="n">
        <v>77</v>
      </c>
      <c r="K13" s="165" t="n">
        <v>35</v>
      </c>
      <c r="L13" s="165" t="n">
        <v>68</v>
      </c>
      <c r="M13" s="165" t="n">
        <v>76</v>
      </c>
      <c r="N13" s="165" t="n">
        <v>76</v>
      </c>
      <c r="O13" s="165" t="n">
        <v>57</v>
      </c>
      <c r="P13" s="165" t="n">
        <v>77</v>
      </c>
      <c r="Q13" s="165" t="n">
        <v>69</v>
      </c>
      <c r="R13" s="166">
        <f>SUM(F13:Q13)</f>
        <v/>
      </c>
      <c r="S13" s="167">
        <f>R13/12</f>
        <v/>
      </c>
      <c r="T13" s="168">
        <f>STDEV(F13:Q13)</f>
        <v/>
      </c>
      <c r="U13" s="169">
        <f>IF(S13=0,9999,T13/S13)</f>
        <v/>
      </c>
      <c r="V13" s="170">
        <f>IF(Z13&lt;=0.7,"A",IF(Z13&lt;=0.9,"B","C"))</f>
        <v/>
      </c>
      <c r="W13" s="171">
        <f>IF(U13&lt;0.1,"X",IF(U13&lt;0.3,"Y","Z"))</f>
        <v/>
      </c>
      <c r="X13" s="172">
        <f>V13&amp;W13</f>
        <v/>
      </c>
      <c r="Y13" s="173">
        <f>E13*R13</f>
        <v/>
      </c>
      <c r="Z13" s="174">
        <f>Y13/SUM($Y$3:$Y$52)</f>
        <v/>
      </c>
      <c r="AA13" s="175">
        <f>IF(V13="A","✓ A-CLASS",IF(V13="B","✓ B-CLASS","✓ C-CLASS"))</f>
        <v/>
      </c>
    </row>
    <row r="14" ht="20" customHeight="1">
      <c r="A14" s="176" t="inlineStr">
        <is>
          <t>FUSO-DIF-018</t>
        </is>
      </c>
      <c r="B14" s="177" t="inlineStr">
        <is>
          <t>Differential Fluid Kit</t>
        </is>
      </c>
      <c r="C14" s="178" t="inlineStr">
        <is>
          <t>Fighter FM</t>
        </is>
      </c>
      <c r="D14" s="178" t="inlineStr">
        <is>
          <t>Japan</t>
        </is>
      </c>
      <c r="E14" s="179" t="n">
        <v>290</v>
      </c>
      <c r="F14" s="165" t="n">
        <v>59</v>
      </c>
      <c r="G14" s="165" t="n">
        <v>44</v>
      </c>
      <c r="H14" s="180" t="n">
        <v>0</v>
      </c>
      <c r="I14" s="180" t="n">
        <v>0</v>
      </c>
      <c r="J14" s="165" t="n">
        <v>31</v>
      </c>
      <c r="K14" s="165" t="n">
        <v>105</v>
      </c>
      <c r="L14" s="180" t="n">
        <v>0</v>
      </c>
      <c r="M14" s="165" t="n">
        <v>49</v>
      </c>
      <c r="N14" s="165" t="n">
        <v>70</v>
      </c>
      <c r="O14" s="180" t="n">
        <v>0</v>
      </c>
      <c r="P14" s="165" t="n">
        <v>61</v>
      </c>
      <c r="Q14" s="165" t="n">
        <v>62</v>
      </c>
      <c r="R14" s="166">
        <f>SUM(F14:Q14)</f>
        <v/>
      </c>
      <c r="S14" s="167">
        <f>R14/12</f>
        <v/>
      </c>
      <c r="T14" s="168">
        <f>STDEV(F14:Q14)</f>
        <v/>
      </c>
      <c r="U14" s="169">
        <f>IF(S14=0,9999,T14/S14)</f>
        <v/>
      </c>
      <c r="V14" s="170">
        <f>IF(Z14&lt;=0.7,"A",IF(Z14&lt;=0.9,"B","C"))</f>
        <v/>
      </c>
      <c r="W14" s="171">
        <f>IF(U14&lt;0.1,"X",IF(U14&lt;0.3,"Y","Z"))</f>
        <v/>
      </c>
      <c r="X14" s="172">
        <f>V14&amp;W14</f>
        <v/>
      </c>
      <c r="Y14" s="173">
        <f>E14*R14</f>
        <v/>
      </c>
      <c r="Z14" s="174">
        <f>Y14/SUM($Y$3:$Y$52)</f>
        <v/>
      </c>
      <c r="AA14" s="175">
        <f>IF(V14="A","✓ A-CLASS",IF(V14="B","✓ B-CLASS","✓ C-CLASS"))</f>
        <v/>
      </c>
    </row>
    <row r="15" ht="20" customHeight="1">
      <c r="A15" s="161" t="inlineStr">
        <is>
          <t>FUSO-CLR-020</t>
        </is>
      </c>
      <c r="B15" s="162" t="inlineStr">
        <is>
          <t>Coolant (20L drum)</t>
        </is>
      </c>
      <c r="C15" s="163" t="inlineStr">
        <is>
          <t>Fighter FM</t>
        </is>
      </c>
      <c r="D15" s="163" t="inlineStr">
        <is>
          <t>Chennai</t>
        </is>
      </c>
      <c r="E15" s="164" t="n">
        <v>220</v>
      </c>
      <c r="F15" s="180" t="n">
        <v>0</v>
      </c>
      <c r="G15" s="180" t="n">
        <v>0</v>
      </c>
      <c r="H15" s="180" t="n">
        <v>0</v>
      </c>
      <c r="I15" s="180" t="n">
        <v>0</v>
      </c>
      <c r="J15" s="180" t="n">
        <v>0</v>
      </c>
      <c r="K15" s="180" t="n">
        <v>0</v>
      </c>
      <c r="L15" s="165" t="n">
        <v>248</v>
      </c>
      <c r="M15" s="180" t="n">
        <v>0</v>
      </c>
      <c r="N15" s="165" t="n">
        <v>292</v>
      </c>
      <c r="O15" s="180" t="n">
        <v>0</v>
      </c>
      <c r="P15" s="180" t="n">
        <v>0</v>
      </c>
      <c r="Q15" s="180" t="n">
        <v>0</v>
      </c>
      <c r="R15" s="166">
        <f>SUM(F15:Q15)</f>
        <v/>
      </c>
      <c r="S15" s="167">
        <f>R15/12</f>
        <v/>
      </c>
      <c r="T15" s="168">
        <f>STDEV(F15:Q15)</f>
        <v/>
      </c>
      <c r="U15" s="169">
        <f>IF(S15=0,9999,T15/S15)</f>
        <v/>
      </c>
      <c r="V15" s="170">
        <f>IF(Z15&lt;=0.7,"A",IF(Z15&lt;=0.9,"B","C"))</f>
        <v/>
      </c>
      <c r="W15" s="171">
        <f>IF(U15&lt;0.1,"X",IF(U15&lt;0.3,"Y","Z"))</f>
        <v/>
      </c>
      <c r="X15" s="172">
        <f>V15&amp;W15</f>
        <v/>
      </c>
      <c r="Y15" s="173">
        <f>E15*R15</f>
        <v/>
      </c>
      <c r="Z15" s="174">
        <f>Y15/SUM($Y$3:$Y$52)</f>
        <v/>
      </c>
      <c r="AA15" s="175">
        <f>IF(V15="A","✓ A-CLASS",IF(V15="B","✓ B-CLASS","✓ C-CLASS"))</f>
        <v/>
      </c>
    </row>
    <row r="16" ht="20" customHeight="1">
      <c r="A16" s="176" t="inlineStr">
        <is>
          <t>FUSO-BLT-004</t>
        </is>
      </c>
      <c r="B16" s="177" t="inlineStr">
        <is>
          <t>Drive Belt Set</t>
        </is>
      </c>
      <c r="C16" s="178" t="inlineStr">
        <is>
          <t>Canter FE</t>
        </is>
      </c>
      <c r="D16" s="178" t="inlineStr">
        <is>
          <t>Chennai</t>
        </is>
      </c>
      <c r="E16" s="179" t="n">
        <v>120</v>
      </c>
      <c r="F16" s="165" t="n">
        <v>69</v>
      </c>
      <c r="G16" s="165" t="n">
        <v>69</v>
      </c>
      <c r="H16" s="165" t="n">
        <v>66</v>
      </c>
      <c r="I16" s="165" t="n">
        <v>64</v>
      </c>
      <c r="J16" s="165" t="n">
        <v>108</v>
      </c>
      <c r="K16" s="165" t="n">
        <v>83</v>
      </c>
      <c r="L16" s="165" t="n">
        <v>75</v>
      </c>
      <c r="M16" s="165" t="n">
        <v>74</v>
      </c>
      <c r="N16" s="165" t="n">
        <v>78</v>
      </c>
      <c r="O16" s="165" t="n">
        <v>90</v>
      </c>
      <c r="P16" s="165" t="n">
        <v>84</v>
      </c>
      <c r="Q16" s="165" t="n">
        <v>75</v>
      </c>
      <c r="R16" s="166">
        <f>SUM(F16:Q16)</f>
        <v/>
      </c>
      <c r="S16" s="167">
        <f>R16/12</f>
        <v/>
      </c>
      <c r="T16" s="168">
        <f>STDEV(F16:Q16)</f>
        <v/>
      </c>
      <c r="U16" s="169">
        <f>IF(S16=0,9999,T16/S16)</f>
        <v/>
      </c>
      <c r="V16" s="170">
        <f>IF(Z16&lt;=0.7,"A",IF(Z16&lt;=0.9,"B","C"))</f>
        <v/>
      </c>
      <c r="W16" s="171">
        <f>IF(U16&lt;0.1,"X",IF(U16&lt;0.3,"Y","Z"))</f>
        <v/>
      </c>
      <c r="X16" s="172">
        <f>V16&amp;W16</f>
        <v/>
      </c>
      <c r="Y16" s="173">
        <f>E16*R16</f>
        <v/>
      </c>
      <c r="Z16" s="174">
        <f>Y16/SUM($Y$3:$Y$52)</f>
        <v/>
      </c>
      <c r="AA16" s="175">
        <f>IF(V16="A","✓ A-CLASS",IF(V16="B","✓ B-CLASS","✓ C-CLASS"))</f>
        <v/>
      </c>
    </row>
    <row r="17" ht="20" customHeight="1">
      <c r="A17" s="161" t="inlineStr">
        <is>
          <t>FUSO-EGR-040</t>
        </is>
      </c>
      <c r="B17" s="162" t="inlineStr">
        <is>
          <t>EGR Valve</t>
        </is>
      </c>
      <c r="C17" s="163" t="inlineStr">
        <is>
          <t>Fighter FM</t>
        </is>
      </c>
      <c r="D17" s="163" t="inlineStr">
        <is>
          <t>Japan</t>
        </is>
      </c>
      <c r="E17" s="164" t="n">
        <v>960</v>
      </c>
      <c r="F17" s="180" t="n">
        <v>0</v>
      </c>
      <c r="G17" s="180" t="n">
        <v>0</v>
      </c>
      <c r="H17" s="180" t="n">
        <v>0</v>
      </c>
      <c r="I17" s="180" t="n">
        <v>0</v>
      </c>
      <c r="J17" s="180" t="n">
        <v>0</v>
      </c>
      <c r="K17" s="165" t="n">
        <v>11</v>
      </c>
      <c r="L17" s="165" t="n">
        <v>25</v>
      </c>
      <c r="M17" s="165" t="n">
        <v>67</v>
      </c>
      <c r="N17" s="180" t="n">
        <v>0</v>
      </c>
      <c r="O17" s="165" t="n">
        <v>20</v>
      </c>
      <c r="P17" s="165" t="n">
        <v>12</v>
      </c>
      <c r="Q17" s="180" t="n">
        <v>0</v>
      </c>
      <c r="R17" s="166">
        <f>SUM(F17:Q17)</f>
        <v/>
      </c>
      <c r="S17" s="167">
        <f>R17/12</f>
        <v/>
      </c>
      <c r="T17" s="168">
        <f>STDEV(F17:Q17)</f>
        <v/>
      </c>
      <c r="U17" s="169">
        <f>IF(S17=0,9999,T17/S17)</f>
        <v/>
      </c>
      <c r="V17" s="170">
        <f>IF(Z17&lt;=0.7,"A",IF(Z17&lt;=0.9,"B","C"))</f>
        <v/>
      </c>
      <c r="W17" s="171">
        <f>IF(U17&lt;0.1,"X",IF(U17&lt;0.3,"Y","Z"))</f>
        <v/>
      </c>
      <c r="X17" s="172">
        <f>V17&amp;W17</f>
        <v/>
      </c>
      <c r="Y17" s="173">
        <f>E17*R17</f>
        <v/>
      </c>
      <c r="Z17" s="174">
        <f>Y17/SUM($Y$3:$Y$52)</f>
        <v/>
      </c>
      <c r="AA17" s="175">
        <f>IF(V17="A","✓ A-CLASS",IF(V17="B","✓ B-CLASS","✓ C-CLASS"))</f>
        <v/>
      </c>
    </row>
    <row r="18" ht="20" customHeight="1">
      <c r="A18" s="176" t="inlineStr">
        <is>
          <t>FUSO-SBU-050</t>
        </is>
      </c>
      <c r="B18" s="177" t="inlineStr">
        <is>
          <t>Starter Motor</t>
        </is>
      </c>
      <c r="C18" s="178" t="inlineStr">
        <is>
          <t>Canter FE</t>
        </is>
      </c>
      <c r="D18" s="178" t="inlineStr">
        <is>
          <t>Japan</t>
        </is>
      </c>
      <c r="E18" s="179" t="n">
        <v>620</v>
      </c>
      <c r="F18" s="180" t="n">
        <v>0</v>
      </c>
      <c r="G18" s="180" t="n">
        <v>0</v>
      </c>
      <c r="H18" s="165" t="n">
        <v>23</v>
      </c>
      <c r="I18" s="165" t="n">
        <v>29</v>
      </c>
      <c r="J18" s="180" t="n">
        <v>0</v>
      </c>
      <c r="K18" s="165" t="n">
        <v>7</v>
      </c>
      <c r="L18" s="180" t="n">
        <v>0</v>
      </c>
      <c r="M18" s="165" t="n">
        <v>35</v>
      </c>
      <c r="N18" s="165" t="n">
        <v>31</v>
      </c>
      <c r="O18" s="180" t="n">
        <v>0</v>
      </c>
      <c r="P18" s="165" t="n">
        <v>20</v>
      </c>
      <c r="Q18" s="180" t="n">
        <v>0</v>
      </c>
      <c r="R18" s="166">
        <f>SUM(F18:Q18)</f>
        <v/>
      </c>
      <c r="S18" s="167">
        <f>R18/12</f>
        <v/>
      </c>
      <c r="T18" s="168">
        <f>STDEV(F18:Q18)</f>
        <v/>
      </c>
      <c r="U18" s="169">
        <f>IF(S18=0,9999,T18/S18)</f>
        <v/>
      </c>
      <c r="V18" s="170">
        <f>IF(Z18&lt;=0.7,"A",IF(Z18&lt;=0.9,"B","C"))</f>
        <v/>
      </c>
      <c r="W18" s="171">
        <f>IF(U18&lt;0.1,"X",IF(U18&lt;0.3,"Y","Z"))</f>
        <v/>
      </c>
      <c r="X18" s="172">
        <f>V18&amp;W18</f>
        <v/>
      </c>
      <c r="Y18" s="173">
        <f>E18*R18</f>
        <v/>
      </c>
      <c r="Z18" s="174">
        <f>Y18/SUM($Y$3:$Y$52)</f>
        <v/>
      </c>
      <c r="AA18" s="175">
        <f>IF(V18="A","✓ A-CLASS",IF(V18="B","✓ B-CLASS","✓ C-CLASS"))</f>
        <v/>
      </c>
    </row>
    <row r="19" ht="20" customHeight="1">
      <c r="A19" s="161" t="inlineStr">
        <is>
          <t>FUSO-BAT-032</t>
        </is>
      </c>
      <c r="B19" s="162" t="inlineStr">
        <is>
          <t>Battery Cell Module</t>
        </is>
      </c>
      <c r="C19" s="163" t="inlineStr">
        <is>
          <t>eCanter</t>
        </is>
      </c>
      <c r="D19" s="163" t="inlineStr">
        <is>
          <t>Japan</t>
        </is>
      </c>
      <c r="E19" s="164" t="n">
        <v>18000</v>
      </c>
      <c r="F19" s="180" t="n">
        <v>0</v>
      </c>
      <c r="G19" s="180" t="n">
        <v>0</v>
      </c>
      <c r="H19" s="180" t="n">
        <v>0</v>
      </c>
      <c r="I19" s="180" t="n">
        <v>0</v>
      </c>
      <c r="J19" s="180" t="n">
        <v>0</v>
      </c>
      <c r="K19" s="180" t="n">
        <v>0</v>
      </c>
      <c r="L19" s="180" t="n">
        <v>0</v>
      </c>
      <c r="M19" s="180" t="n">
        <v>0</v>
      </c>
      <c r="N19" s="180" t="n">
        <v>0</v>
      </c>
      <c r="O19" s="180" t="n">
        <v>0</v>
      </c>
      <c r="P19" s="165" t="n">
        <v>6</v>
      </c>
      <c r="Q19" s="180" t="n">
        <v>0</v>
      </c>
      <c r="R19" s="166">
        <f>SUM(F19:Q19)</f>
        <v/>
      </c>
      <c r="S19" s="167">
        <f>R19/12</f>
        <v/>
      </c>
      <c r="T19" s="168">
        <f>STDEV(F19:Q19)</f>
        <v/>
      </c>
      <c r="U19" s="169">
        <f>IF(S19=0,9999,T19/S19)</f>
        <v/>
      </c>
      <c r="V19" s="170">
        <f>IF(Z19&lt;=0.7,"A",IF(Z19&lt;=0.9,"B","C"))</f>
        <v/>
      </c>
      <c r="W19" s="171">
        <f>IF(U19&lt;0.1,"X",IF(U19&lt;0.3,"Y","Z"))</f>
        <v/>
      </c>
      <c r="X19" s="172">
        <f>V19&amp;W19</f>
        <v/>
      </c>
      <c r="Y19" s="173">
        <f>E19*R19</f>
        <v/>
      </c>
      <c r="Z19" s="174">
        <f>Y19/SUM($Y$3:$Y$52)</f>
        <v/>
      </c>
      <c r="AA19" s="175">
        <f>IF(V19="A","✓ A-CLASS",IF(V19="B","✓ B-CLASS","✓ C-CLASS"))</f>
        <v/>
      </c>
    </row>
    <row r="20" ht="20" customHeight="1">
      <c r="A20" s="176" t="inlineStr">
        <is>
          <t>FUSO-SPR-049</t>
        </is>
      </c>
      <c r="B20" s="177" t="inlineStr">
        <is>
          <t>Leaf Spring (pair)</t>
        </is>
      </c>
      <c r="C20" s="178" t="inlineStr">
        <is>
          <t>Fighter FM</t>
        </is>
      </c>
      <c r="D20" s="178" t="inlineStr">
        <is>
          <t>Japan</t>
        </is>
      </c>
      <c r="E20" s="179" t="n">
        <v>1800</v>
      </c>
      <c r="F20" s="180" t="n">
        <v>0</v>
      </c>
      <c r="G20" s="180" t="n">
        <v>0</v>
      </c>
      <c r="H20" s="180" t="n">
        <v>0</v>
      </c>
      <c r="I20" s="180" t="n">
        <v>0</v>
      </c>
      <c r="J20" s="165" t="n">
        <v>60</v>
      </c>
      <c r="K20" s="180" t="n">
        <v>0</v>
      </c>
      <c r="L20" s="180" t="n">
        <v>0</v>
      </c>
      <c r="M20" s="180" t="n">
        <v>0</v>
      </c>
      <c r="N20" s="180" t="n">
        <v>0</v>
      </c>
      <c r="O20" s="180" t="n">
        <v>0</v>
      </c>
      <c r="P20" s="180" t="n">
        <v>0</v>
      </c>
      <c r="Q20" s="180" t="n">
        <v>0</v>
      </c>
      <c r="R20" s="166">
        <f>SUM(F20:Q20)</f>
        <v/>
      </c>
      <c r="S20" s="167">
        <f>R20/12</f>
        <v/>
      </c>
      <c r="T20" s="168">
        <f>STDEV(F20:Q20)</f>
        <v/>
      </c>
      <c r="U20" s="169">
        <f>IF(S20=0,9999,T20/S20)</f>
        <v/>
      </c>
      <c r="V20" s="170">
        <f>IF(Z20&lt;=0.7,"A",IF(Z20&lt;=0.9,"B","C"))</f>
        <v/>
      </c>
      <c r="W20" s="171">
        <f>IF(U20&lt;0.1,"X",IF(U20&lt;0.3,"Y","Z"))</f>
        <v/>
      </c>
      <c r="X20" s="172">
        <f>V20&amp;W20</f>
        <v/>
      </c>
      <c r="Y20" s="173">
        <f>E20*R20</f>
        <v/>
      </c>
      <c r="Z20" s="174">
        <f>Y20/SUM($Y$3:$Y$52)</f>
        <v/>
      </c>
      <c r="AA20" s="175">
        <f>IF(V20="A","✓ A-CLASS",IF(V20="B","✓ B-CLASS","✓ C-CLASS"))</f>
        <v/>
      </c>
    </row>
    <row r="21" ht="20" customHeight="1">
      <c r="A21" s="161" t="inlineStr">
        <is>
          <t>FUSO-BRK-001</t>
        </is>
      </c>
      <c r="B21" s="162" t="inlineStr">
        <is>
          <t>Brake Pad Set Front</t>
        </is>
      </c>
      <c r="C21" s="163" t="inlineStr">
        <is>
          <t>Canter FE</t>
        </is>
      </c>
      <c r="D21" s="163" t="inlineStr">
        <is>
          <t>Chennai</t>
        </is>
      </c>
      <c r="E21" s="164" t="n">
        <v>85</v>
      </c>
      <c r="F21" s="165" t="n">
        <v>114</v>
      </c>
      <c r="G21" s="165" t="n">
        <v>92</v>
      </c>
      <c r="H21" s="165" t="n">
        <v>119</v>
      </c>
      <c r="I21" s="165" t="n">
        <v>90</v>
      </c>
      <c r="J21" s="165" t="n">
        <v>105</v>
      </c>
      <c r="K21" s="165" t="n">
        <v>103</v>
      </c>
      <c r="L21" s="165" t="n">
        <v>90</v>
      </c>
      <c r="M21" s="165" t="n">
        <v>111</v>
      </c>
      <c r="N21" s="165" t="n">
        <v>81</v>
      </c>
      <c r="O21" s="165" t="n">
        <v>111</v>
      </c>
      <c r="P21" s="165" t="n">
        <v>96</v>
      </c>
      <c r="Q21" s="165" t="n">
        <v>86</v>
      </c>
      <c r="R21" s="166">
        <f>SUM(F21:Q21)</f>
        <v/>
      </c>
      <c r="S21" s="167">
        <f>R21/12</f>
        <v/>
      </c>
      <c r="T21" s="168">
        <f>STDEV(F21:Q21)</f>
        <v/>
      </c>
      <c r="U21" s="169">
        <f>IF(S21=0,9999,T21/S21)</f>
        <v/>
      </c>
      <c r="V21" s="170">
        <f>IF(Z21&lt;=0.7,"A",IF(Z21&lt;=0.9,"B","C"))</f>
        <v/>
      </c>
      <c r="W21" s="171">
        <f>IF(U21&lt;0.1,"X",IF(U21&lt;0.3,"Y","Z"))</f>
        <v/>
      </c>
      <c r="X21" s="172">
        <f>V21&amp;W21</f>
        <v/>
      </c>
      <c r="Y21" s="173">
        <f>E21*R21</f>
        <v/>
      </c>
      <c r="Z21" s="174">
        <f>Y21/SUM($Y$3:$Y$52)</f>
        <v/>
      </c>
      <c r="AA21" s="175">
        <f>IF(V21="A","✓ A-CLASS",IF(V21="B","✓ B-CLASS","✓ C-CLASS"))</f>
        <v/>
      </c>
    </row>
    <row r="22" ht="20" customHeight="1">
      <c r="A22" s="176" t="inlineStr">
        <is>
          <t>FUSO-ECU-031</t>
        </is>
      </c>
      <c r="B22" s="177" t="inlineStr">
        <is>
          <t>eCanter ECU Module</t>
        </is>
      </c>
      <c r="C22" s="178" t="inlineStr">
        <is>
          <t>eCanter</t>
        </is>
      </c>
      <c r="D22" s="178" t="inlineStr">
        <is>
          <t>Japan</t>
        </is>
      </c>
      <c r="E22" s="179" t="n">
        <v>8500</v>
      </c>
      <c r="F22" s="165" t="n">
        <v>12</v>
      </c>
      <c r="G22" s="180" t="n">
        <v>0</v>
      </c>
      <c r="H22" s="180" t="n">
        <v>0</v>
      </c>
      <c r="I22" s="180" t="n">
        <v>0</v>
      </c>
      <c r="J22" s="180" t="n">
        <v>0</v>
      </c>
      <c r="K22" s="180" t="n">
        <v>0</v>
      </c>
      <c r="L22" s="180" t="n">
        <v>0</v>
      </c>
      <c r="M22" s="180" t="n">
        <v>0</v>
      </c>
      <c r="N22" s="180" t="n">
        <v>0</v>
      </c>
      <c r="O22" s="180" t="n">
        <v>0</v>
      </c>
      <c r="P22" s="180" t="n">
        <v>0</v>
      </c>
      <c r="Q22" s="180" t="n">
        <v>0</v>
      </c>
      <c r="R22" s="166">
        <f>SUM(F22:Q22)</f>
        <v/>
      </c>
      <c r="S22" s="167">
        <f>R22/12</f>
        <v/>
      </c>
      <c r="T22" s="168">
        <f>STDEV(F22:Q22)</f>
        <v/>
      </c>
      <c r="U22" s="169">
        <f>IF(S22=0,9999,T22/S22)</f>
        <v/>
      </c>
      <c r="V22" s="170">
        <f>IF(Z22&lt;=0.7,"A",IF(Z22&lt;=0.9,"B","C"))</f>
        <v/>
      </c>
      <c r="W22" s="171">
        <f>IF(U22&lt;0.1,"X",IF(U22&lt;0.3,"Y","Z"))</f>
        <v/>
      </c>
      <c r="X22" s="172">
        <f>V22&amp;W22</f>
        <v/>
      </c>
      <c r="Y22" s="173">
        <f>E22*R22</f>
        <v/>
      </c>
      <c r="Z22" s="174">
        <f>Y22/SUM($Y$3:$Y$52)</f>
        <v/>
      </c>
      <c r="AA22" s="175">
        <f>IF(V22="A","✓ A-CLASS",IF(V22="B","✓ B-CLASS","✓ C-CLASS"))</f>
        <v/>
      </c>
    </row>
    <row r="23" ht="20" customHeight="1">
      <c r="A23" s="161" t="inlineStr">
        <is>
          <t>FUSO-HUB-045</t>
        </is>
      </c>
      <c r="B23" s="162" t="inlineStr">
        <is>
          <t>Wheel Hub Assy</t>
        </is>
      </c>
      <c r="C23" s="163" t="inlineStr">
        <is>
          <t>Fighter FM</t>
        </is>
      </c>
      <c r="D23" s="163" t="inlineStr">
        <is>
          <t>Japan</t>
        </is>
      </c>
      <c r="E23" s="164" t="n">
        <v>1400</v>
      </c>
      <c r="F23" s="180" t="n">
        <v>0</v>
      </c>
      <c r="G23" s="165" t="n">
        <v>42</v>
      </c>
      <c r="H23" s="180" t="n">
        <v>0</v>
      </c>
      <c r="I23" s="180" t="n">
        <v>0</v>
      </c>
      <c r="J23" s="180" t="n">
        <v>0</v>
      </c>
      <c r="K23" s="165" t="n">
        <v>40</v>
      </c>
      <c r="L23" s="180" t="n">
        <v>0</v>
      </c>
      <c r="M23" s="180" t="n">
        <v>0</v>
      </c>
      <c r="N23" s="180" t="n">
        <v>0</v>
      </c>
      <c r="O23" s="180" t="n">
        <v>0</v>
      </c>
      <c r="P23" s="165" t="n">
        <v>11</v>
      </c>
      <c r="Q23" s="180" t="n">
        <v>0</v>
      </c>
      <c r="R23" s="166">
        <f>SUM(F23:Q23)</f>
        <v/>
      </c>
      <c r="S23" s="167">
        <f>R23/12</f>
        <v/>
      </c>
      <c r="T23" s="168">
        <f>STDEV(F23:Q23)</f>
        <v/>
      </c>
      <c r="U23" s="169">
        <f>IF(S23=0,9999,T23/S23)</f>
        <v/>
      </c>
      <c r="V23" s="170">
        <f>IF(Z23&lt;=0.7,"A",IF(Z23&lt;=0.9,"B","C"))</f>
        <v/>
      </c>
      <c r="W23" s="171">
        <f>IF(U23&lt;0.1,"X",IF(U23&lt;0.3,"Y","Z"))</f>
        <v/>
      </c>
      <c r="X23" s="172">
        <f>V23&amp;W23</f>
        <v/>
      </c>
      <c r="Y23" s="173">
        <f>E23*R23</f>
        <v/>
      </c>
      <c r="Z23" s="174">
        <f>Y23/SUM($Y$3:$Y$52)</f>
        <v/>
      </c>
      <c r="AA23" s="175">
        <f>IF(V23="A","✓ A-CLASS",IF(V23="B","✓ B-CLASS","✓ C-CLASS"))</f>
        <v/>
      </c>
    </row>
    <row r="24" ht="20" customHeight="1">
      <c r="A24" s="176" t="inlineStr">
        <is>
          <t>FUSO-AIR-003</t>
        </is>
      </c>
      <c r="B24" s="177" t="inlineStr">
        <is>
          <t>Air Filter Element</t>
        </is>
      </c>
      <c r="C24" s="178" t="inlineStr">
        <is>
          <t>Canter FE</t>
        </is>
      </c>
      <c r="D24" s="178" t="inlineStr">
        <is>
          <t>Chennai</t>
        </is>
      </c>
      <c r="E24" s="179" t="n">
        <v>60</v>
      </c>
      <c r="F24" s="165" t="n">
        <v>107</v>
      </c>
      <c r="G24" s="165" t="n">
        <v>103</v>
      </c>
      <c r="H24" s="165" t="n">
        <v>119</v>
      </c>
      <c r="I24" s="165" t="n">
        <v>147</v>
      </c>
      <c r="J24" s="165" t="n">
        <v>107</v>
      </c>
      <c r="K24" s="165" t="n">
        <v>126</v>
      </c>
      <c r="L24" s="165" t="n">
        <v>125</v>
      </c>
      <c r="M24" s="165" t="n">
        <v>129</v>
      </c>
      <c r="N24" s="165" t="n">
        <v>124</v>
      </c>
      <c r="O24" s="165" t="n">
        <v>129</v>
      </c>
      <c r="P24" s="165" t="n">
        <v>117</v>
      </c>
      <c r="Q24" s="165" t="n">
        <v>140</v>
      </c>
      <c r="R24" s="166">
        <f>SUM(F24:Q24)</f>
        <v/>
      </c>
      <c r="S24" s="167">
        <f>R24/12</f>
        <v/>
      </c>
      <c r="T24" s="168">
        <f>STDEV(F24:Q24)</f>
        <v/>
      </c>
      <c r="U24" s="169">
        <f>IF(S24=0,9999,T24/S24)</f>
        <v/>
      </c>
      <c r="V24" s="170">
        <f>IF(Z24&lt;=0.7,"A",IF(Z24&lt;=0.9,"B","C"))</f>
        <v/>
      </c>
      <c r="W24" s="171">
        <f>IF(U24&lt;0.1,"X",IF(U24&lt;0.3,"Y","Z"))</f>
        <v/>
      </c>
      <c r="X24" s="172">
        <f>V24&amp;W24</f>
        <v/>
      </c>
      <c r="Y24" s="173">
        <f>E24*R24</f>
        <v/>
      </c>
      <c r="Z24" s="174">
        <f>Y24/SUM($Y$3:$Y$52)</f>
        <v/>
      </c>
      <c r="AA24" s="175">
        <f>IF(V24="A","✓ A-CLASS",IF(V24="B","✓ B-CLASS","✓ C-CLASS"))</f>
        <v/>
      </c>
    </row>
    <row r="25" ht="20" customHeight="1">
      <c r="A25" s="161" t="inlineStr">
        <is>
          <t>FUSO-BRK-036</t>
        </is>
      </c>
      <c r="B25" s="162" t="inlineStr">
        <is>
          <t>Brake Pad Rear Set</t>
        </is>
      </c>
      <c r="C25" s="163" t="inlineStr">
        <is>
          <t>Canter FE</t>
        </is>
      </c>
      <c r="D25" s="163" t="inlineStr">
        <is>
          <t>Chennai</t>
        </is>
      </c>
      <c r="E25" s="164" t="n">
        <v>80</v>
      </c>
      <c r="F25" s="165" t="n">
        <v>84</v>
      </c>
      <c r="G25" s="165" t="n">
        <v>97</v>
      </c>
      <c r="H25" s="165" t="n">
        <v>80</v>
      </c>
      <c r="I25" s="165" t="n">
        <v>81</v>
      </c>
      <c r="J25" s="165" t="n">
        <v>98</v>
      </c>
      <c r="K25" s="165" t="n">
        <v>80</v>
      </c>
      <c r="L25" s="165" t="n">
        <v>99</v>
      </c>
      <c r="M25" s="165" t="n">
        <v>83</v>
      </c>
      <c r="N25" s="165" t="n">
        <v>77</v>
      </c>
      <c r="O25" s="165" t="n">
        <v>97</v>
      </c>
      <c r="P25" s="165" t="n">
        <v>64</v>
      </c>
      <c r="Q25" s="165" t="n">
        <v>87</v>
      </c>
      <c r="R25" s="166">
        <f>SUM(F25:Q25)</f>
        <v/>
      </c>
      <c r="S25" s="167">
        <f>R25/12</f>
        <v/>
      </c>
      <c r="T25" s="168">
        <f>STDEV(F25:Q25)</f>
        <v/>
      </c>
      <c r="U25" s="169">
        <f>IF(S25=0,9999,T25/S25)</f>
        <v/>
      </c>
      <c r="V25" s="170">
        <f>IF(Z25&lt;=0.7,"A",IF(Z25&lt;=0.9,"B","C"))</f>
        <v/>
      </c>
      <c r="W25" s="171">
        <f>IF(U25&lt;0.1,"X",IF(U25&lt;0.3,"Y","Z"))</f>
        <v/>
      </c>
      <c r="X25" s="172">
        <f>V25&amp;W25</f>
        <v/>
      </c>
      <c r="Y25" s="173">
        <f>E25*R25</f>
        <v/>
      </c>
      <c r="Z25" s="174">
        <f>Y25/SUM($Y$3:$Y$52)</f>
        <v/>
      </c>
      <c r="AA25" s="175">
        <f>IF(V25="A","✓ A-CLASS",IF(V25="B","✓ B-CLASS","✓ C-CLASS"))</f>
        <v/>
      </c>
    </row>
    <row r="26" ht="20" customHeight="1">
      <c r="A26" s="176" t="inlineStr">
        <is>
          <t>FUSO-OIL-002</t>
        </is>
      </c>
      <c r="B26" s="177" t="inlineStr">
        <is>
          <t>Oil Filter Standard</t>
        </is>
      </c>
      <c r="C26" s="178" t="inlineStr">
        <is>
          <t>Canter FE</t>
        </is>
      </c>
      <c r="D26" s="178" t="inlineStr">
        <is>
          <t>Chennai</t>
        </is>
      </c>
      <c r="E26" s="179" t="n">
        <v>45</v>
      </c>
      <c r="F26" s="165" t="n">
        <v>144</v>
      </c>
      <c r="G26" s="165" t="n">
        <v>166</v>
      </c>
      <c r="H26" s="165" t="n">
        <v>144</v>
      </c>
      <c r="I26" s="165" t="n">
        <v>158</v>
      </c>
      <c r="J26" s="165" t="n">
        <v>151</v>
      </c>
      <c r="K26" s="165" t="n">
        <v>144</v>
      </c>
      <c r="L26" s="165" t="n">
        <v>164</v>
      </c>
      <c r="M26" s="165" t="n">
        <v>165</v>
      </c>
      <c r="N26" s="165" t="n">
        <v>159</v>
      </c>
      <c r="O26" s="165" t="n">
        <v>142</v>
      </c>
      <c r="P26" s="165" t="n">
        <v>144</v>
      </c>
      <c r="Q26" s="165" t="n">
        <v>147</v>
      </c>
      <c r="R26" s="166">
        <f>SUM(F26:Q26)</f>
        <v/>
      </c>
      <c r="S26" s="167">
        <f>R26/12</f>
        <v/>
      </c>
      <c r="T26" s="168">
        <f>STDEV(F26:Q26)</f>
        <v/>
      </c>
      <c r="U26" s="169">
        <f>IF(S26=0,9999,T26/S26)</f>
        <v/>
      </c>
      <c r="V26" s="170">
        <f>IF(Z26&lt;=0.7,"A",IF(Z26&lt;=0.9,"B","C"))</f>
        <v/>
      </c>
      <c r="W26" s="171">
        <f>IF(U26&lt;0.1,"X",IF(U26&lt;0.3,"Y","Z"))</f>
        <v/>
      </c>
      <c r="X26" s="172">
        <f>V26&amp;W26</f>
        <v/>
      </c>
      <c r="Y26" s="173">
        <f>E26*R26</f>
        <v/>
      </c>
      <c r="Z26" s="174">
        <f>Y26/SUM($Y$3:$Y$52)</f>
        <v/>
      </c>
      <c r="AA26" s="175">
        <f>IF(V26="A","✓ A-CLASS",IF(V26="B","✓ B-CLASS","✓ C-CLASS"))</f>
        <v/>
      </c>
    </row>
    <row r="27" ht="20" customHeight="1">
      <c r="A27" s="161" t="inlineStr">
        <is>
          <t>FUSO-DRV-022</t>
        </is>
      </c>
      <c r="B27" s="162" t="inlineStr">
        <is>
          <t>Drive Shaft Front</t>
        </is>
      </c>
      <c r="C27" s="163" t="inlineStr">
        <is>
          <t>Super Great V</t>
        </is>
      </c>
      <c r="D27" s="163" t="inlineStr">
        <is>
          <t>Japan</t>
        </is>
      </c>
      <c r="E27" s="164" t="n">
        <v>2200</v>
      </c>
      <c r="F27" s="180" t="n">
        <v>0</v>
      </c>
      <c r="G27" s="180" t="n">
        <v>0</v>
      </c>
      <c r="H27" s="180" t="n">
        <v>0</v>
      </c>
      <c r="I27" s="180" t="n">
        <v>0</v>
      </c>
      <c r="J27" s="180" t="n">
        <v>0</v>
      </c>
      <c r="K27" s="180" t="n">
        <v>0</v>
      </c>
      <c r="L27" s="180" t="n">
        <v>0</v>
      </c>
      <c r="M27" s="180" t="n">
        <v>0</v>
      </c>
      <c r="N27" s="180" t="n">
        <v>0</v>
      </c>
      <c r="O27" s="180" t="n">
        <v>0</v>
      </c>
      <c r="P27" s="180" t="n">
        <v>0</v>
      </c>
      <c r="Q27" s="180" t="n">
        <v>0</v>
      </c>
      <c r="R27" s="166">
        <f>SUM(F27:Q27)</f>
        <v/>
      </c>
      <c r="S27" s="167">
        <f>R27/12</f>
        <v/>
      </c>
      <c r="T27" s="168">
        <f>STDEV(F27:Q27)</f>
        <v/>
      </c>
      <c r="U27" s="169">
        <f>IF(S27=0,9999,T27/S27)</f>
        <v/>
      </c>
      <c r="V27" s="170">
        <f>IF(Z27&lt;=0.7,"A",IF(Z27&lt;=0.9,"B","C"))</f>
        <v/>
      </c>
      <c r="W27" s="171">
        <f>IF(U27&lt;0.1,"X",IF(U27&lt;0.3,"Y","Z"))</f>
        <v/>
      </c>
      <c r="X27" s="172">
        <f>V27&amp;W27</f>
        <v/>
      </c>
      <c r="Y27" s="173">
        <f>E27*R27</f>
        <v/>
      </c>
      <c r="Z27" s="174">
        <f>Y27/SUM($Y$3:$Y$52)</f>
        <v/>
      </c>
      <c r="AA27" s="175">
        <f>IF(V27="A","✓ A-CLASS",IF(V27="B","✓ B-CLASS","✓ C-CLASS"))</f>
        <v/>
      </c>
    </row>
    <row r="28" ht="20" customHeight="1">
      <c r="A28" s="176" t="inlineStr">
        <is>
          <t>FUSO-LAM-046</t>
        </is>
      </c>
      <c r="B28" s="177" t="inlineStr">
        <is>
          <t>Lambda Sensor</t>
        </is>
      </c>
      <c r="C28" s="178" t="inlineStr">
        <is>
          <t>Canter FE</t>
        </is>
      </c>
      <c r="D28" s="178" t="inlineStr">
        <is>
          <t>Chennai</t>
        </is>
      </c>
      <c r="E28" s="179" t="n">
        <v>220</v>
      </c>
      <c r="F28" s="180" t="n">
        <v>0</v>
      </c>
      <c r="G28" s="165" t="n">
        <v>55</v>
      </c>
      <c r="H28" s="180" t="n">
        <v>0</v>
      </c>
      <c r="I28" s="180" t="n">
        <v>0</v>
      </c>
      <c r="J28" s="165" t="n">
        <v>41</v>
      </c>
      <c r="K28" s="180" t="n">
        <v>0</v>
      </c>
      <c r="L28" s="180" t="n">
        <v>0</v>
      </c>
      <c r="M28" s="165" t="n">
        <v>111</v>
      </c>
      <c r="N28" s="180" t="n">
        <v>0</v>
      </c>
      <c r="O28" s="165" t="n">
        <v>59</v>
      </c>
      <c r="P28" s="165" t="n">
        <v>62</v>
      </c>
      <c r="Q28" s="165" t="n">
        <v>57</v>
      </c>
      <c r="R28" s="166">
        <f>SUM(F28:Q28)</f>
        <v/>
      </c>
      <c r="S28" s="167">
        <f>R28/12</f>
        <v/>
      </c>
      <c r="T28" s="168">
        <f>STDEV(F28:Q28)</f>
        <v/>
      </c>
      <c r="U28" s="169">
        <f>IF(S28=0,9999,T28/S28)</f>
        <v/>
      </c>
      <c r="V28" s="170">
        <f>IF(Z28&lt;=0.7,"A",IF(Z28&lt;=0.9,"B","C"))</f>
        <v/>
      </c>
      <c r="W28" s="171">
        <f>IF(U28&lt;0.1,"X",IF(U28&lt;0.3,"Y","Z"))</f>
        <v/>
      </c>
      <c r="X28" s="172">
        <f>V28&amp;W28</f>
        <v/>
      </c>
      <c r="Y28" s="173">
        <f>E28*R28</f>
        <v/>
      </c>
      <c r="Z28" s="174">
        <f>Y28/SUM($Y$3:$Y$52)</f>
        <v/>
      </c>
      <c r="AA28" s="175">
        <f>IF(V28="A","✓ A-CLASS",IF(V28="B","✓ B-CLASS","✓ C-CLASS"))</f>
        <v/>
      </c>
    </row>
    <row r="29" ht="20" customHeight="1">
      <c r="A29" s="161" t="inlineStr">
        <is>
          <t>FUSO-DPF-041</t>
        </is>
      </c>
      <c r="B29" s="162" t="inlineStr">
        <is>
          <t>DPF Filter</t>
        </is>
      </c>
      <c r="C29" s="163" t="inlineStr">
        <is>
          <t>Super Great V</t>
        </is>
      </c>
      <c r="D29" s="163" t="inlineStr">
        <is>
          <t>Japan</t>
        </is>
      </c>
      <c r="E29" s="164" t="n">
        <v>4200</v>
      </c>
      <c r="F29" s="180" t="n">
        <v>0</v>
      </c>
      <c r="G29" s="180" t="n">
        <v>0</v>
      </c>
      <c r="H29" s="180" t="n">
        <v>0</v>
      </c>
      <c r="I29" s="180" t="n">
        <v>0</v>
      </c>
      <c r="J29" s="180" t="n">
        <v>0</v>
      </c>
      <c r="K29" s="180" t="n">
        <v>0</v>
      </c>
      <c r="L29" s="165" t="n">
        <v>15</v>
      </c>
      <c r="M29" s="180" t="n">
        <v>0</v>
      </c>
      <c r="N29" s="180" t="n">
        <v>0</v>
      </c>
      <c r="O29" s="180" t="n">
        <v>0</v>
      </c>
      <c r="P29" s="180" t="n">
        <v>0</v>
      </c>
      <c r="Q29" s="180" t="n">
        <v>0</v>
      </c>
      <c r="R29" s="166">
        <f>SUM(F29:Q29)</f>
        <v/>
      </c>
      <c r="S29" s="167">
        <f>R29/12</f>
        <v/>
      </c>
      <c r="T29" s="168">
        <f>STDEV(F29:Q29)</f>
        <v/>
      </c>
      <c r="U29" s="169">
        <f>IF(S29=0,9999,T29/S29)</f>
        <v/>
      </c>
      <c r="V29" s="170">
        <f>IF(Z29&lt;=0.7,"A",IF(Z29&lt;=0.9,"B","C"))</f>
        <v/>
      </c>
      <c r="W29" s="171">
        <f>IF(U29&lt;0.1,"X",IF(U29&lt;0.3,"Y","Z"))</f>
        <v/>
      </c>
      <c r="X29" s="172">
        <f>V29&amp;W29</f>
        <v/>
      </c>
      <c r="Y29" s="173">
        <f>E29*R29</f>
        <v/>
      </c>
      <c r="Z29" s="174">
        <f>Y29/SUM($Y$3:$Y$52)</f>
        <v/>
      </c>
      <c r="AA29" s="175">
        <f>IF(V29="A","✓ A-CLASS",IF(V29="B","✓ B-CLASS","✓ C-CLASS"))</f>
        <v/>
      </c>
    </row>
    <row r="30" ht="20" customHeight="1">
      <c r="A30" s="176" t="inlineStr">
        <is>
          <t>FUSO-SPK-008</t>
        </is>
      </c>
      <c r="B30" s="177" t="inlineStr">
        <is>
          <t>Spark Plug Set</t>
        </is>
      </c>
      <c r="C30" s="178" t="inlineStr">
        <is>
          <t>Canter FE</t>
        </is>
      </c>
      <c r="D30" s="178" t="inlineStr">
        <is>
          <t>Chennai</t>
        </is>
      </c>
      <c r="E30" s="179" t="n">
        <v>30</v>
      </c>
      <c r="F30" s="165" t="n">
        <v>194</v>
      </c>
      <c r="G30" s="165" t="n">
        <v>210</v>
      </c>
      <c r="H30" s="165" t="n">
        <v>201</v>
      </c>
      <c r="I30" s="165" t="n">
        <v>205</v>
      </c>
      <c r="J30" s="165" t="n">
        <v>198</v>
      </c>
      <c r="K30" s="165" t="n">
        <v>239</v>
      </c>
      <c r="L30" s="165" t="n">
        <v>187</v>
      </c>
      <c r="M30" s="165" t="n">
        <v>197</v>
      </c>
      <c r="N30" s="165" t="n">
        <v>212</v>
      </c>
      <c r="O30" s="165" t="n">
        <v>217</v>
      </c>
      <c r="P30" s="165" t="n">
        <v>164</v>
      </c>
      <c r="Q30" s="165" t="n">
        <v>227</v>
      </c>
      <c r="R30" s="166">
        <f>SUM(F30:Q30)</f>
        <v/>
      </c>
      <c r="S30" s="167">
        <f>R30/12</f>
        <v/>
      </c>
      <c r="T30" s="168">
        <f>STDEV(F30:Q30)</f>
        <v/>
      </c>
      <c r="U30" s="169">
        <f>IF(S30=0,9999,T30/S30)</f>
        <v/>
      </c>
      <c r="V30" s="170">
        <f>IF(Z30&lt;=0.7,"A",IF(Z30&lt;=0.9,"B","C"))</f>
        <v/>
      </c>
      <c r="W30" s="171">
        <f>IF(U30&lt;0.1,"X",IF(U30&lt;0.3,"Y","Z"))</f>
        <v/>
      </c>
      <c r="X30" s="172">
        <f>V30&amp;W30</f>
        <v/>
      </c>
      <c r="Y30" s="173">
        <f>E30*R30</f>
        <v/>
      </c>
      <c r="Z30" s="174">
        <f>Y30/SUM($Y$3:$Y$52)</f>
        <v/>
      </c>
      <c r="AA30" s="175">
        <f>IF(V30="A","✓ A-CLASS",IF(V30="B","✓ B-CLASS","✓ C-CLASS"))</f>
        <v/>
      </c>
    </row>
    <row r="31" ht="20" customHeight="1">
      <c r="A31" s="161" t="inlineStr">
        <is>
          <t>FUSO-INV-034</t>
        </is>
      </c>
      <c r="B31" s="162" t="inlineStr">
        <is>
          <t>Inverter Module</t>
        </is>
      </c>
      <c r="C31" s="163" t="inlineStr">
        <is>
          <t>eCanter</t>
        </is>
      </c>
      <c r="D31" s="163" t="inlineStr">
        <is>
          <t>Japan</t>
        </is>
      </c>
      <c r="E31" s="164" t="n">
        <v>12000</v>
      </c>
      <c r="F31" s="165" t="n">
        <v>2</v>
      </c>
      <c r="G31" s="180" t="n">
        <v>0</v>
      </c>
      <c r="H31" s="165" t="n">
        <v>2</v>
      </c>
      <c r="I31" s="180" t="n">
        <v>0</v>
      </c>
      <c r="J31" s="180" t="n">
        <v>0</v>
      </c>
      <c r="K31" s="180" t="n">
        <v>0</v>
      </c>
      <c r="L31" s="165" t="n">
        <v>2</v>
      </c>
      <c r="M31" s="180" t="n">
        <v>0</v>
      </c>
      <c r="N31" s="180" t="n">
        <v>0</v>
      </c>
      <c r="O31" s="180" t="n">
        <v>0</v>
      </c>
      <c r="P31" s="180" t="n">
        <v>0</v>
      </c>
      <c r="Q31" s="180" t="n">
        <v>0</v>
      </c>
      <c r="R31" s="166">
        <f>SUM(F31:Q31)</f>
        <v/>
      </c>
      <c r="S31" s="167">
        <f>R31/12</f>
        <v/>
      </c>
      <c r="T31" s="168">
        <f>STDEV(F31:Q31)</f>
        <v/>
      </c>
      <c r="U31" s="169">
        <f>IF(S31=0,9999,T31/S31)</f>
        <v/>
      </c>
      <c r="V31" s="170">
        <f>IF(Z31&lt;=0.7,"A",IF(Z31&lt;=0.9,"B","C"))</f>
        <v/>
      </c>
      <c r="W31" s="171">
        <f>IF(U31&lt;0.1,"X",IF(U31&lt;0.3,"Y","Z"))</f>
        <v/>
      </c>
      <c r="X31" s="172">
        <f>V31&amp;W31</f>
        <v/>
      </c>
      <c r="Y31" s="173">
        <f>E31*R31</f>
        <v/>
      </c>
      <c r="Z31" s="174">
        <f>Y31/SUM($Y$3:$Y$52)</f>
        <v/>
      </c>
      <c r="AA31" s="175">
        <f>IF(V31="A","✓ A-CLASS",IF(V31="B","✓ B-CLASS","✓ C-CLASS"))</f>
        <v/>
      </c>
    </row>
    <row r="32" ht="20" customHeight="1">
      <c r="A32" s="176" t="inlineStr">
        <is>
          <t>FUSO-TRM-010</t>
        </is>
      </c>
      <c r="B32" s="177" t="inlineStr">
        <is>
          <t>Thermostat Assy</t>
        </is>
      </c>
      <c r="C32" s="178" t="inlineStr">
        <is>
          <t>Canter FE</t>
        </is>
      </c>
      <c r="D32" s="178" t="inlineStr">
        <is>
          <t>Chennai</t>
        </is>
      </c>
      <c r="E32" s="179" t="n">
        <v>95</v>
      </c>
      <c r="F32" s="165" t="n">
        <v>68</v>
      </c>
      <c r="G32" s="165" t="n">
        <v>47</v>
      </c>
      <c r="H32" s="165" t="n">
        <v>52</v>
      </c>
      <c r="I32" s="165" t="n">
        <v>49</v>
      </c>
      <c r="J32" s="165" t="n">
        <v>52</v>
      </c>
      <c r="K32" s="165" t="n">
        <v>36</v>
      </c>
      <c r="L32" s="165" t="n">
        <v>64</v>
      </c>
      <c r="M32" s="165" t="n">
        <v>50</v>
      </c>
      <c r="N32" s="165" t="n">
        <v>68</v>
      </c>
      <c r="O32" s="165" t="n">
        <v>44</v>
      </c>
      <c r="P32" s="165" t="n">
        <v>52</v>
      </c>
      <c r="Q32" s="165" t="n">
        <v>65</v>
      </c>
      <c r="R32" s="166">
        <f>SUM(F32:Q32)</f>
        <v/>
      </c>
      <c r="S32" s="167">
        <f>R32/12</f>
        <v/>
      </c>
      <c r="T32" s="168">
        <f>STDEV(F32:Q32)</f>
        <v/>
      </c>
      <c r="U32" s="169">
        <f>IF(S32=0,9999,T32/S32)</f>
        <v/>
      </c>
      <c r="V32" s="170">
        <f>IF(Z32&lt;=0.7,"A",IF(Z32&lt;=0.9,"B","C"))</f>
        <v/>
      </c>
      <c r="W32" s="171">
        <f>IF(U32&lt;0.1,"X",IF(U32&lt;0.3,"Y","Z"))</f>
        <v/>
      </c>
      <c r="X32" s="172">
        <f>V32&amp;W32</f>
        <v/>
      </c>
      <c r="Y32" s="173">
        <f>E32*R32</f>
        <v/>
      </c>
      <c r="Z32" s="174">
        <f>Y32/SUM($Y$3:$Y$52)</f>
        <v/>
      </c>
      <c r="AA32" s="175">
        <f>IF(V32="A","✓ A-CLASS",IF(V32="B","✓ B-CLASS","✓ C-CLASS"))</f>
        <v/>
      </c>
    </row>
    <row r="33" ht="20" customHeight="1">
      <c r="A33" s="161" t="inlineStr">
        <is>
          <t>FUSO-ACP-023</t>
        </is>
      </c>
      <c r="B33" s="162" t="inlineStr">
        <is>
          <t>A/C Compressor</t>
        </is>
      </c>
      <c r="C33" s="163" t="inlineStr">
        <is>
          <t>Super Great V</t>
        </is>
      </c>
      <c r="D33" s="163" t="inlineStr">
        <is>
          <t>Japan</t>
        </is>
      </c>
      <c r="E33" s="164" t="n">
        <v>2600</v>
      </c>
      <c r="F33" s="180" t="n">
        <v>0</v>
      </c>
      <c r="G33" s="180" t="n">
        <v>0</v>
      </c>
      <c r="H33" s="180" t="n">
        <v>0</v>
      </c>
      <c r="I33" s="180" t="n">
        <v>0</v>
      </c>
      <c r="J33" s="180" t="n">
        <v>0</v>
      </c>
      <c r="K33" s="165" t="n">
        <v>24</v>
      </c>
      <c r="L33" s="180" t="n">
        <v>0</v>
      </c>
      <c r="M33" s="180" t="n">
        <v>0</v>
      </c>
      <c r="N33" s="180" t="n">
        <v>0</v>
      </c>
      <c r="O33" s="180" t="n">
        <v>0</v>
      </c>
      <c r="P33" s="180" t="n">
        <v>0</v>
      </c>
      <c r="Q33" s="180" t="n">
        <v>0</v>
      </c>
      <c r="R33" s="166">
        <f>SUM(F33:Q33)</f>
        <v/>
      </c>
      <c r="S33" s="167">
        <f>R33/12</f>
        <v/>
      </c>
      <c r="T33" s="168">
        <f>STDEV(F33:Q33)</f>
        <v/>
      </c>
      <c r="U33" s="169">
        <f>IF(S33=0,9999,T33/S33)</f>
        <v/>
      </c>
      <c r="V33" s="170">
        <f>IF(Z33&lt;=0.7,"A",IF(Z33&lt;=0.9,"B","C"))</f>
        <v/>
      </c>
      <c r="W33" s="171">
        <f>IF(U33&lt;0.1,"X",IF(U33&lt;0.3,"Y","Z"))</f>
        <v/>
      </c>
      <c r="X33" s="172">
        <f>V33&amp;W33</f>
        <v/>
      </c>
      <c r="Y33" s="173">
        <f>E33*R33</f>
        <v/>
      </c>
      <c r="Z33" s="174">
        <f>Y33/SUM($Y$3:$Y$52)</f>
        <v/>
      </c>
      <c r="AA33" s="175">
        <f>IF(V33="A","✓ A-CLASS",IF(V33="B","✓ B-CLASS","✓ C-CLASS"))</f>
        <v/>
      </c>
    </row>
    <row r="34" ht="20" customHeight="1">
      <c r="A34" s="176" t="inlineStr">
        <is>
          <t>FUSO-ADB-044</t>
        </is>
      </c>
      <c r="B34" s="177" t="inlineStr">
        <is>
          <t>AdBlue Pump</t>
        </is>
      </c>
      <c r="C34" s="178" t="inlineStr">
        <is>
          <t>Fighter FM</t>
        </is>
      </c>
      <c r="D34" s="178" t="inlineStr">
        <is>
          <t>Japan</t>
        </is>
      </c>
      <c r="E34" s="179" t="n">
        <v>640</v>
      </c>
      <c r="F34" s="180" t="n">
        <v>0</v>
      </c>
      <c r="G34" s="180" t="n">
        <v>0</v>
      </c>
      <c r="H34" s="180" t="n">
        <v>0</v>
      </c>
      <c r="I34" s="180" t="n">
        <v>0</v>
      </c>
      <c r="J34" s="180" t="n">
        <v>0</v>
      </c>
      <c r="K34" s="180" t="n">
        <v>0</v>
      </c>
      <c r="L34" s="165" t="n">
        <v>79</v>
      </c>
      <c r="M34" s="165" t="n">
        <v>17</v>
      </c>
      <c r="N34" s="180" t="n">
        <v>0</v>
      </c>
      <c r="O34" s="180" t="n">
        <v>0</v>
      </c>
      <c r="P34" s="180" t="n">
        <v>0</v>
      </c>
      <c r="Q34" s="180" t="n">
        <v>0</v>
      </c>
      <c r="R34" s="166">
        <f>SUM(F34:Q34)</f>
        <v/>
      </c>
      <c r="S34" s="167">
        <f>R34/12</f>
        <v/>
      </c>
      <c r="T34" s="168">
        <f>STDEV(F34:Q34)</f>
        <v/>
      </c>
      <c r="U34" s="169">
        <f>IF(S34=0,9999,T34/S34)</f>
        <v/>
      </c>
      <c r="V34" s="170">
        <f>IF(Z34&lt;=0.7,"A",IF(Z34&lt;=0.9,"B","C"))</f>
        <v/>
      </c>
      <c r="W34" s="171">
        <f>IF(U34&lt;0.1,"X",IF(U34&lt;0.3,"Y","Z"))</f>
        <v/>
      </c>
      <c r="X34" s="172">
        <f>V34&amp;W34</f>
        <v/>
      </c>
      <c r="Y34" s="173">
        <f>E34*R34</f>
        <v/>
      </c>
      <c r="Z34" s="174">
        <f>Y34/SUM($Y$3:$Y$52)</f>
        <v/>
      </c>
      <c r="AA34" s="175">
        <f>IF(V34="A","✓ A-CLASS",IF(V34="B","✓ B-CLASS","✓ C-CLASS"))</f>
        <v/>
      </c>
    </row>
    <row r="35" ht="20" customHeight="1">
      <c r="A35" s="161" t="inlineStr">
        <is>
          <t>FUSO-BRH-019</t>
        </is>
      </c>
      <c r="B35" s="162" t="inlineStr">
        <is>
          <t>Brake Hose Set</t>
        </is>
      </c>
      <c r="C35" s="163" t="inlineStr">
        <is>
          <t>Fighter FM</t>
        </is>
      </c>
      <c r="D35" s="163" t="inlineStr">
        <is>
          <t>Chennai</t>
        </is>
      </c>
      <c r="E35" s="164" t="n">
        <v>140</v>
      </c>
      <c r="F35" s="180" t="n">
        <v>0</v>
      </c>
      <c r="G35" s="165" t="n">
        <v>65</v>
      </c>
      <c r="H35" s="165" t="n">
        <v>82</v>
      </c>
      <c r="I35" s="165" t="n">
        <v>65</v>
      </c>
      <c r="J35" s="180" t="n">
        <v>0</v>
      </c>
      <c r="K35" s="180" t="n">
        <v>0</v>
      </c>
      <c r="L35" s="165" t="n">
        <v>90</v>
      </c>
      <c r="M35" s="165" t="n">
        <v>63</v>
      </c>
      <c r="N35" s="180" t="n">
        <v>0</v>
      </c>
      <c r="O35" s="180" t="n">
        <v>0</v>
      </c>
      <c r="P35" s="165" t="n">
        <v>92</v>
      </c>
      <c r="Q35" s="165" t="n">
        <v>77</v>
      </c>
      <c r="R35" s="166">
        <f>SUM(F35:Q35)</f>
        <v/>
      </c>
      <c r="S35" s="167">
        <f>R35/12</f>
        <v/>
      </c>
      <c r="T35" s="168">
        <f>STDEV(F35:Q35)</f>
        <v/>
      </c>
      <c r="U35" s="169">
        <f>IF(S35=0,9999,T35/S35)</f>
        <v/>
      </c>
      <c r="V35" s="170">
        <f>IF(Z35&lt;=0.7,"A",IF(Z35&lt;=0.9,"B","C"))</f>
        <v/>
      </c>
      <c r="W35" s="171">
        <f>IF(U35&lt;0.1,"X",IF(U35&lt;0.3,"Y","Z"))</f>
        <v/>
      </c>
      <c r="X35" s="172">
        <f>V35&amp;W35</f>
        <v/>
      </c>
      <c r="Y35" s="173">
        <f>E35*R35</f>
        <v/>
      </c>
      <c r="Z35" s="174">
        <f>Y35/SUM($Y$3:$Y$52)</f>
        <v/>
      </c>
      <c r="AA35" s="175">
        <f>IF(V35="A","✓ A-CLASS",IF(V35="B","✓ B-CLASS","✓ C-CLASS"))</f>
        <v/>
      </c>
    </row>
    <row r="36" ht="20" customHeight="1">
      <c r="A36" s="176" t="inlineStr">
        <is>
          <t>FUSO-AIR-038</t>
        </is>
      </c>
      <c r="B36" s="177" t="inlineStr">
        <is>
          <t>Air Filter HD</t>
        </is>
      </c>
      <c r="C36" s="178" t="inlineStr">
        <is>
          <t>Fighter FM</t>
        </is>
      </c>
      <c r="D36" s="178" t="inlineStr">
        <is>
          <t>Chennai</t>
        </is>
      </c>
      <c r="E36" s="179" t="n">
        <v>70</v>
      </c>
      <c r="F36" s="165" t="n">
        <v>74</v>
      </c>
      <c r="G36" s="165" t="n">
        <v>63</v>
      </c>
      <c r="H36" s="165" t="n">
        <v>85</v>
      </c>
      <c r="I36" s="165" t="n">
        <v>66</v>
      </c>
      <c r="J36" s="165" t="n">
        <v>76</v>
      </c>
      <c r="K36" s="165" t="n">
        <v>61</v>
      </c>
      <c r="L36" s="165" t="n">
        <v>63</v>
      </c>
      <c r="M36" s="165" t="n">
        <v>62</v>
      </c>
      <c r="N36" s="165" t="n">
        <v>66</v>
      </c>
      <c r="O36" s="165" t="n">
        <v>58</v>
      </c>
      <c r="P36" s="165" t="n">
        <v>81</v>
      </c>
      <c r="Q36" s="165" t="n">
        <v>68</v>
      </c>
      <c r="R36" s="166">
        <f>SUM(F36:Q36)</f>
        <v/>
      </c>
      <c r="S36" s="167">
        <f>R36/12</f>
        <v/>
      </c>
      <c r="T36" s="168">
        <f>STDEV(F36:Q36)</f>
        <v/>
      </c>
      <c r="U36" s="169">
        <f>IF(S36=0,9999,T36/S36)</f>
        <v/>
      </c>
      <c r="V36" s="170">
        <f>IF(Z36&lt;=0.7,"A",IF(Z36&lt;=0.9,"B","C"))</f>
        <v/>
      </c>
      <c r="W36" s="171">
        <f>IF(U36&lt;0.1,"X",IF(U36&lt;0.3,"Y","Z"))</f>
        <v/>
      </c>
      <c r="X36" s="172">
        <f>V36&amp;W36</f>
        <v/>
      </c>
      <c r="Y36" s="173">
        <f>E36*R36</f>
        <v/>
      </c>
      <c r="Z36" s="174">
        <f>Y36/SUM($Y$3:$Y$52)</f>
        <v/>
      </c>
      <c r="AA36" s="175">
        <f>IF(V36="A","✓ A-CLASS",IF(V36="B","✓ B-CLASS","✓ C-CLASS"))</f>
        <v/>
      </c>
    </row>
    <row r="37" ht="20" customHeight="1">
      <c r="A37" s="161" t="inlineStr">
        <is>
          <t>FUSO-RAD-009</t>
        </is>
      </c>
      <c r="B37" s="162" t="inlineStr">
        <is>
          <t>Radiator Hose Upper</t>
        </is>
      </c>
      <c r="C37" s="163" t="inlineStr">
        <is>
          <t>Canter FE</t>
        </is>
      </c>
      <c r="D37" s="163" t="inlineStr">
        <is>
          <t>Chennai</t>
        </is>
      </c>
      <c r="E37" s="164" t="n">
        <v>75</v>
      </c>
      <c r="F37" s="165" t="n">
        <v>54</v>
      </c>
      <c r="G37" s="165" t="n">
        <v>68</v>
      </c>
      <c r="H37" s="165" t="n">
        <v>61</v>
      </c>
      <c r="I37" s="165" t="n">
        <v>59</v>
      </c>
      <c r="J37" s="165" t="n">
        <v>68</v>
      </c>
      <c r="K37" s="165" t="n">
        <v>53</v>
      </c>
      <c r="L37" s="165" t="n">
        <v>58</v>
      </c>
      <c r="M37" s="165" t="n">
        <v>57</v>
      </c>
      <c r="N37" s="165" t="n">
        <v>57</v>
      </c>
      <c r="O37" s="165" t="n">
        <v>76</v>
      </c>
      <c r="P37" s="165" t="n">
        <v>80</v>
      </c>
      <c r="Q37" s="165" t="n">
        <v>52</v>
      </c>
      <c r="R37" s="166">
        <f>SUM(F37:Q37)</f>
        <v/>
      </c>
      <c r="S37" s="167">
        <f>R37/12</f>
        <v/>
      </c>
      <c r="T37" s="168">
        <f>STDEV(F37:Q37)</f>
        <v/>
      </c>
      <c r="U37" s="169">
        <f>IF(S37=0,9999,T37/S37)</f>
        <v/>
      </c>
      <c r="V37" s="170">
        <f>IF(Z37&lt;=0.7,"A",IF(Z37&lt;=0.9,"B","C"))</f>
        <v/>
      </c>
      <c r="W37" s="171">
        <f>IF(U37&lt;0.1,"X",IF(U37&lt;0.3,"Y","Z"))</f>
        <v/>
      </c>
      <c r="X37" s="172">
        <f>V37&amp;W37</f>
        <v/>
      </c>
      <c r="Y37" s="173">
        <f>E37*R37</f>
        <v/>
      </c>
      <c r="Z37" s="174">
        <f>Y37/SUM($Y$3:$Y$52)</f>
        <v/>
      </c>
      <c r="AA37" s="175">
        <f>IF(V37="A","✓ A-CLASS",IF(V37="B","✓ B-CLASS","✓ C-CLASS"))</f>
        <v/>
      </c>
    </row>
    <row r="38" ht="20" customHeight="1">
      <c r="A38" s="176" t="inlineStr">
        <is>
          <t>FUSO-HDG-024</t>
        </is>
      </c>
      <c r="B38" s="177" t="inlineStr">
        <is>
          <t>Head Gasket Set</t>
        </is>
      </c>
      <c r="C38" s="178" t="inlineStr">
        <is>
          <t>Super Great V</t>
        </is>
      </c>
      <c r="D38" s="178" t="inlineStr">
        <is>
          <t>Japan</t>
        </is>
      </c>
      <c r="E38" s="179" t="n">
        <v>1800</v>
      </c>
      <c r="F38" s="180" t="n">
        <v>0</v>
      </c>
      <c r="G38" s="165" t="n">
        <v>13</v>
      </c>
      <c r="H38" s="180" t="n">
        <v>0</v>
      </c>
      <c r="I38" s="180" t="n">
        <v>0</v>
      </c>
      <c r="J38" s="180" t="n">
        <v>0</v>
      </c>
      <c r="K38" s="165" t="n">
        <v>15</v>
      </c>
      <c r="L38" s="180" t="n">
        <v>0</v>
      </c>
      <c r="M38" s="180" t="n">
        <v>0</v>
      </c>
      <c r="N38" s="180" t="n">
        <v>0</v>
      </c>
      <c r="O38" s="180" t="n">
        <v>0</v>
      </c>
      <c r="P38" s="165" t="n">
        <v>2</v>
      </c>
      <c r="Q38" s="180" t="n">
        <v>0</v>
      </c>
      <c r="R38" s="166">
        <f>SUM(F38:Q38)</f>
        <v/>
      </c>
      <c r="S38" s="167">
        <f>R38/12</f>
        <v/>
      </c>
      <c r="T38" s="168">
        <f>STDEV(F38:Q38)</f>
        <v/>
      </c>
      <c r="U38" s="169">
        <f>IF(S38=0,9999,T38/S38)</f>
        <v/>
      </c>
      <c r="V38" s="170">
        <f>IF(Z38&lt;=0.7,"A",IF(Z38&lt;=0.9,"B","C"))</f>
        <v/>
      </c>
      <c r="W38" s="171">
        <f>IF(U38&lt;0.1,"X",IF(U38&lt;0.3,"Y","Z"))</f>
        <v/>
      </c>
      <c r="X38" s="172">
        <f>V38&amp;W38</f>
        <v/>
      </c>
      <c r="Y38" s="173">
        <f>E38*R38</f>
        <v/>
      </c>
      <c r="Z38" s="174">
        <f>Y38/SUM($Y$3:$Y$52)</f>
        <v/>
      </c>
      <c r="AA38" s="175">
        <f>IF(V38="A","✓ A-CLASS",IF(V38="B","✓ B-CLASS","✓ C-CLASS"))</f>
        <v/>
      </c>
    </row>
    <row r="39" ht="20" customHeight="1">
      <c r="A39" s="161" t="inlineStr">
        <is>
          <t>FUSO-FLT-048</t>
        </is>
      </c>
      <c r="B39" s="162" t="inlineStr">
        <is>
          <t>Fuel Filter</t>
        </is>
      </c>
      <c r="C39" s="163" t="inlineStr">
        <is>
          <t>Canter FE</t>
        </is>
      </c>
      <c r="D39" s="163" t="inlineStr">
        <is>
          <t>Chennai</t>
        </is>
      </c>
      <c r="E39" s="164" t="n">
        <v>55</v>
      </c>
      <c r="F39" s="165" t="n">
        <v>100</v>
      </c>
      <c r="G39" s="165" t="n">
        <v>95</v>
      </c>
      <c r="H39" s="165" t="n">
        <v>67</v>
      </c>
      <c r="I39" s="165" t="n">
        <v>85</v>
      </c>
      <c r="J39" s="165" t="n">
        <v>82</v>
      </c>
      <c r="K39" s="165" t="n">
        <v>89</v>
      </c>
      <c r="L39" s="165" t="n">
        <v>72</v>
      </c>
      <c r="M39" s="165" t="n">
        <v>88</v>
      </c>
      <c r="N39" s="165" t="n">
        <v>86</v>
      </c>
      <c r="O39" s="165" t="n">
        <v>95</v>
      </c>
      <c r="P39" s="165" t="n">
        <v>74</v>
      </c>
      <c r="Q39" s="165" t="n">
        <v>74</v>
      </c>
      <c r="R39" s="166">
        <f>SUM(F39:Q39)</f>
        <v/>
      </c>
      <c r="S39" s="167">
        <f>R39/12</f>
        <v/>
      </c>
      <c r="T39" s="168">
        <f>STDEV(F39:Q39)</f>
        <v/>
      </c>
      <c r="U39" s="169">
        <f>IF(S39=0,9999,T39/S39)</f>
        <v/>
      </c>
      <c r="V39" s="170">
        <f>IF(Z39&lt;=0.7,"A",IF(Z39&lt;=0.9,"B","C"))</f>
        <v/>
      </c>
      <c r="W39" s="171">
        <f>IF(U39&lt;0.1,"X",IF(U39&lt;0.3,"Y","Z"))</f>
        <v/>
      </c>
      <c r="X39" s="172">
        <f>V39&amp;W39</f>
        <v/>
      </c>
      <c r="Y39" s="173">
        <f>E39*R39</f>
        <v/>
      </c>
      <c r="Z39" s="174">
        <f>Y39/SUM($Y$3:$Y$52)</f>
        <v/>
      </c>
      <c r="AA39" s="175">
        <f>IF(V39="A","✓ A-CLASS",IF(V39="B","✓ B-CLASS","✓ C-CLASS"))</f>
        <v/>
      </c>
    </row>
    <row r="40" ht="20" customHeight="1">
      <c r="A40" s="176" t="inlineStr">
        <is>
          <t>FUSO-OIL-037</t>
        </is>
      </c>
      <c r="B40" s="177" t="inlineStr">
        <is>
          <t>Oil Filter HD</t>
        </is>
      </c>
      <c r="C40" s="178" t="inlineStr">
        <is>
          <t>Fighter FM</t>
        </is>
      </c>
      <c r="D40" s="178" t="inlineStr">
        <is>
          <t>Chennai</t>
        </is>
      </c>
      <c r="E40" s="179" t="n">
        <v>55</v>
      </c>
      <c r="F40" s="165" t="n">
        <v>70</v>
      </c>
      <c r="G40" s="165" t="n">
        <v>66</v>
      </c>
      <c r="H40" s="165" t="n">
        <v>64</v>
      </c>
      <c r="I40" s="165" t="n">
        <v>58</v>
      </c>
      <c r="J40" s="165" t="n">
        <v>73</v>
      </c>
      <c r="K40" s="165" t="n">
        <v>79</v>
      </c>
      <c r="L40" s="165" t="n">
        <v>69</v>
      </c>
      <c r="M40" s="165" t="n">
        <v>68</v>
      </c>
      <c r="N40" s="165" t="n">
        <v>59</v>
      </c>
      <c r="O40" s="165" t="n">
        <v>86</v>
      </c>
      <c r="P40" s="165" t="n">
        <v>76</v>
      </c>
      <c r="Q40" s="165" t="n">
        <v>62</v>
      </c>
      <c r="R40" s="166">
        <f>SUM(F40:Q40)</f>
        <v/>
      </c>
      <c r="S40" s="167">
        <f>R40/12</f>
        <v/>
      </c>
      <c r="T40" s="168">
        <f>STDEV(F40:Q40)</f>
        <v/>
      </c>
      <c r="U40" s="169">
        <f>IF(S40=0,9999,T40/S40)</f>
        <v/>
      </c>
      <c r="V40" s="170">
        <f>IF(Z40&lt;=0.7,"A",IF(Z40&lt;=0.9,"B","C"))</f>
        <v/>
      </c>
      <c r="W40" s="171">
        <f>IF(U40&lt;0.1,"X",IF(U40&lt;0.3,"Y","Z"))</f>
        <v/>
      </c>
      <c r="X40" s="172">
        <f>V40&amp;W40</f>
        <v/>
      </c>
      <c r="Y40" s="173">
        <f>E40*R40</f>
        <v/>
      </c>
      <c r="Z40" s="174">
        <f>Y40/SUM($Y$3:$Y$52)</f>
        <v/>
      </c>
      <c r="AA40" s="175">
        <f>IF(V40="A","✓ A-CLASS",IF(V40="B","✓ B-CLASS","✓ C-CLASS"))</f>
        <v/>
      </c>
    </row>
    <row r="41" ht="20" customHeight="1">
      <c r="A41" s="161" t="inlineStr">
        <is>
          <t>FUSO-CPM-033</t>
        </is>
      </c>
      <c r="B41" s="162" t="inlineStr">
        <is>
          <t>Coolant Pump EV</t>
        </is>
      </c>
      <c r="C41" s="163" t="inlineStr">
        <is>
          <t>eCanter</t>
        </is>
      </c>
      <c r="D41" s="163" t="inlineStr">
        <is>
          <t>Japan</t>
        </is>
      </c>
      <c r="E41" s="164" t="n">
        <v>2400</v>
      </c>
      <c r="F41" s="180" t="n">
        <v>0</v>
      </c>
      <c r="G41" s="180" t="n">
        <v>0</v>
      </c>
      <c r="H41" s="165" t="n">
        <v>1</v>
      </c>
      <c r="I41" s="180" t="n">
        <v>0</v>
      </c>
      <c r="J41" s="165" t="n">
        <v>2</v>
      </c>
      <c r="K41" s="165" t="n">
        <v>7</v>
      </c>
      <c r="L41" s="165" t="n">
        <v>8</v>
      </c>
      <c r="M41" s="180" t="n">
        <v>0</v>
      </c>
      <c r="N41" s="180" t="n">
        <v>0</v>
      </c>
      <c r="O41" s="180" t="n">
        <v>0</v>
      </c>
      <c r="P41" s="180" t="n">
        <v>0</v>
      </c>
      <c r="Q41" s="180" t="n">
        <v>0</v>
      </c>
      <c r="R41" s="166">
        <f>SUM(F41:Q41)</f>
        <v/>
      </c>
      <c r="S41" s="167">
        <f>R41/12</f>
        <v/>
      </c>
      <c r="T41" s="168">
        <f>STDEV(F41:Q41)</f>
        <v/>
      </c>
      <c r="U41" s="169">
        <f>IF(S41=0,9999,T41/S41)</f>
        <v/>
      </c>
      <c r="V41" s="170">
        <f>IF(Z41&lt;=0.7,"A",IF(Z41&lt;=0.9,"B","C"))</f>
        <v/>
      </c>
      <c r="W41" s="171">
        <f>IF(U41&lt;0.1,"X",IF(U41&lt;0.3,"Y","Z"))</f>
        <v/>
      </c>
      <c r="X41" s="172">
        <f>V41&amp;W41</f>
        <v/>
      </c>
      <c r="Y41" s="173">
        <f>E41*R41</f>
        <v/>
      </c>
      <c r="Z41" s="174">
        <f>Y41/SUM($Y$3:$Y$52)</f>
        <v/>
      </c>
      <c r="AA41" s="175">
        <f>IF(V41="A","✓ A-CLASS",IF(V41="B","✓ B-CLASS","✓ C-CLASS"))</f>
        <v/>
      </c>
    </row>
    <row r="42" ht="20" customHeight="1">
      <c r="A42" s="176" t="inlineStr">
        <is>
          <t>FUSO-SCR-043</t>
        </is>
      </c>
      <c r="B42" s="177" t="inlineStr">
        <is>
          <t>SCR Catalyst</t>
        </is>
      </c>
      <c r="C42" s="178" t="inlineStr">
        <is>
          <t>Super Great V</t>
        </is>
      </c>
      <c r="D42" s="178" t="inlineStr">
        <is>
          <t>Japan</t>
        </is>
      </c>
      <c r="E42" s="179" t="n">
        <v>3600</v>
      </c>
      <c r="F42" s="180" t="n">
        <v>0</v>
      </c>
      <c r="G42" s="165" t="n">
        <v>2</v>
      </c>
      <c r="H42" s="165" t="n">
        <v>1</v>
      </c>
      <c r="I42" s="180" t="n">
        <v>0</v>
      </c>
      <c r="J42" s="180" t="n">
        <v>0</v>
      </c>
      <c r="K42" s="180" t="n">
        <v>0</v>
      </c>
      <c r="L42" s="180" t="n">
        <v>0</v>
      </c>
      <c r="M42" s="180" t="n">
        <v>0</v>
      </c>
      <c r="N42" s="165" t="n">
        <v>5</v>
      </c>
      <c r="O42" s="165" t="n">
        <v>4</v>
      </c>
      <c r="P42" s="180" t="n">
        <v>0</v>
      </c>
      <c r="Q42" s="180" t="n">
        <v>0</v>
      </c>
      <c r="R42" s="166">
        <f>SUM(F42:Q42)</f>
        <v/>
      </c>
      <c r="S42" s="167">
        <f>R42/12</f>
        <v/>
      </c>
      <c r="T42" s="168">
        <f>STDEV(F42:Q42)</f>
        <v/>
      </c>
      <c r="U42" s="169">
        <f>IF(S42=0,9999,T42/S42)</f>
        <v/>
      </c>
      <c r="V42" s="170">
        <f>IF(Z42&lt;=0.7,"A",IF(Z42&lt;=0.9,"B","C"))</f>
        <v/>
      </c>
      <c r="W42" s="171">
        <f>IF(U42&lt;0.1,"X",IF(U42&lt;0.3,"Y","Z"))</f>
        <v/>
      </c>
      <c r="X42" s="172">
        <f>V42&amp;W42</f>
        <v/>
      </c>
      <c r="Y42" s="173">
        <f>E42*R42</f>
        <v/>
      </c>
      <c r="Z42" s="174">
        <f>Y42/SUM($Y$3:$Y$52)</f>
        <v/>
      </c>
      <c r="AA42" s="175">
        <f>IF(V42="A","✓ A-CLASS",IF(V42="B","✓ B-CLASS","✓ C-CLASS"))</f>
        <v/>
      </c>
    </row>
    <row r="43" ht="20" customHeight="1">
      <c r="A43" s="161" t="inlineStr">
        <is>
          <t>FUSO-CHG-035</t>
        </is>
      </c>
      <c r="B43" s="162" t="inlineStr">
        <is>
          <t>On-Board Charger</t>
        </is>
      </c>
      <c r="C43" s="163" t="inlineStr">
        <is>
          <t>eCanter</t>
        </is>
      </c>
      <c r="D43" s="163" t="inlineStr">
        <is>
          <t>Japan</t>
        </is>
      </c>
      <c r="E43" s="164" t="n">
        <v>9500</v>
      </c>
      <c r="F43" s="180" t="n">
        <v>0</v>
      </c>
      <c r="G43" s="180" t="n">
        <v>0</v>
      </c>
      <c r="H43" s="180" t="n">
        <v>0</v>
      </c>
      <c r="I43" s="180" t="n">
        <v>0</v>
      </c>
      <c r="J43" s="180" t="n">
        <v>0</v>
      </c>
      <c r="K43" s="180" t="n">
        <v>0</v>
      </c>
      <c r="L43" s="180" t="n">
        <v>0</v>
      </c>
      <c r="M43" s="165" t="n">
        <v>4</v>
      </c>
      <c r="N43" s="180" t="n">
        <v>0</v>
      </c>
      <c r="O43" s="180" t="n">
        <v>0</v>
      </c>
      <c r="P43" s="180" t="n">
        <v>0</v>
      </c>
      <c r="Q43" s="180" t="n">
        <v>0</v>
      </c>
      <c r="R43" s="166">
        <f>SUM(F43:Q43)</f>
        <v/>
      </c>
      <c r="S43" s="167">
        <f>R43/12</f>
        <v/>
      </c>
      <c r="T43" s="168">
        <f>STDEV(F43:Q43)</f>
        <v/>
      </c>
      <c r="U43" s="169">
        <f>IF(S43=0,9999,T43/S43)</f>
        <v/>
      </c>
      <c r="V43" s="170">
        <f>IF(Z43&lt;=0.7,"A",IF(Z43&lt;=0.9,"B","C"))</f>
        <v/>
      </c>
      <c r="W43" s="171">
        <f>IF(U43&lt;0.1,"X",IF(U43&lt;0.3,"Y","Z"))</f>
        <v/>
      </c>
      <c r="X43" s="172">
        <f>V43&amp;W43</f>
        <v/>
      </c>
      <c r="Y43" s="173">
        <f>E43*R43</f>
        <v/>
      </c>
      <c r="Z43" s="174">
        <f>Y43/SUM($Y$3:$Y$52)</f>
        <v/>
      </c>
      <c r="AA43" s="175">
        <f>IF(V43="A","✓ A-CLASS",IF(V43="B","✓ B-CLASS","✓ C-CLASS"))</f>
        <v/>
      </c>
    </row>
    <row r="44" ht="20" customHeight="1">
      <c r="A44" s="176" t="inlineStr">
        <is>
          <t>FUSO-TIM-028</t>
        </is>
      </c>
      <c r="B44" s="177" t="inlineStr">
        <is>
          <t>Timing Chain Kit</t>
        </is>
      </c>
      <c r="C44" s="178" t="inlineStr">
        <is>
          <t>Super Great V</t>
        </is>
      </c>
      <c r="D44" s="178" t="inlineStr">
        <is>
          <t>Japan</t>
        </is>
      </c>
      <c r="E44" s="179" t="n">
        <v>2800</v>
      </c>
      <c r="F44" s="180" t="n">
        <v>0</v>
      </c>
      <c r="G44" s="165" t="n">
        <v>11</v>
      </c>
      <c r="H44" s="165" t="n">
        <v>1</v>
      </c>
      <c r="I44" s="180" t="n">
        <v>0</v>
      </c>
      <c r="J44" s="180" t="n">
        <v>0</v>
      </c>
      <c r="K44" s="180" t="n">
        <v>0</v>
      </c>
      <c r="L44" s="180" t="n">
        <v>0</v>
      </c>
      <c r="M44" s="180" t="n">
        <v>0</v>
      </c>
      <c r="N44" s="180" t="n">
        <v>0</v>
      </c>
      <c r="O44" s="165" t="n">
        <v>1</v>
      </c>
      <c r="P44" s="180" t="n">
        <v>0</v>
      </c>
      <c r="Q44" s="180" t="n">
        <v>0</v>
      </c>
      <c r="R44" s="166">
        <f>SUM(F44:Q44)</f>
        <v/>
      </c>
      <c r="S44" s="167">
        <f>R44/12</f>
        <v/>
      </c>
      <c r="T44" s="168">
        <f>STDEV(F44:Q44)</f>
        <v/>
      </c>
      <c r="U44" s="169">
        <f>IF(S44=0,9999,T44/S44)</f>
        <v/>
      </c>
      <c r="V44" s="170">
        <f>IF(Z44&lt;=0.7,"A",IF(Z44&lt;=0.9,"B","C"))</f>
        <v/>
      </c>
      <c r="W44" s="171">
        <f>IF(U44&lt;0.1,"X",IF(U44&lt;0.3,"Y","Z"))</f>
        <v/>
      </c>
      <c r="X44" s="172">
        <f>V44&amp;W44</f>
        <v/>
      </c>
      <c r="Y44" s="173">
        <f>E44*R44</f>
        <v/>
      </c>
      <c r="Z44" s="174">
        <f>Y44/SUM($Y$3:$Y$52)</f>
        <v/>
      </c>
      <c r="AA44" s="175">
        <f>IF(V44="A","✓ A-CLASS",IF(V44="B","✓ B-CLASS","✓ C-CLASS"))</f>
        <v/>
      </c>
    </row>
    <row r="45" ht="20" customHeight="1">
      <c r="A45" s="161" t="inlineStr">
        <is>
          <t>FUSO-PCV-047</t>
        </is>
      </c>
      <c r="B45" s="162" t="inlineStr">
        <is>
          <t>PCV Valve</t>
        </is>
      </c>
      <c r="C45" s="163" t="inlineStr">
        <is>
          <t>Canter FE</t>
        </is>
      </c>
      <c r="D45" s="163" t="inlineStr">
        <is>
          <t>Chennai</t>
        </is>
      </c>
      <c r="E45" s="164" t="n">
        <v>45</v>
      </c>
      <c r="F45" s="165" t="n">
        <v>55</v>
      </c>
      <c r="G45" s="165" t="n">
        <v>57</v>
      </c>
      <c r="H45" s="165" t="n">
        <v>69</v>
      </c>
      <c r="I45" s="165" t="n">
        <v>67</v>
      </c>
      <c r="J45" s="165" t="n">
        <v>66</v>
      </c>
      <c r="K45" s="165" t="n">
        <v>60</v>
      </c>
      <c r="L45" s="165" t="n">
        <v>54</v>
      </c>
      <c r="M45" s="165" t="n">
        <v>59</v>
      </c>
      <c r="N45" s="165" t="n">
        <v>59</v>
      </c>
      <c r="O45" s="165" t="n">
        <v>54</v>
      </c>
      <c r="P45" s="165" t="n">
        <v>55</v>
      </c>
      <c r="Q45" s="165" t="n">
        <v>84</v>
      </c>
      <c r="R45" s="166">
        <f>SUM(F45:Q45)</f>
        <v/>
      </c>
      <c r="S45" s="167">
        <f>R45/12</f>
        <v/>
      </c>
      <c r="T45" s="168">
        <f>STDEV(F45:Q45)</f>
        <v/>
      </c>
      <c r="U45" s="169">
        <f>IF(S45=0,9999,T45/S45)</f>
        <v/>
      </c>
      <c r="V45" s="170">
        <f>IF(Z45&lt;=0.7,"A",IF(Z45&lt;=0.9,"B","C"))</f>
        <v/>
      </c>
      <c r="W45" s="171">
        <f>IF(U45&lt;0.1,"X",IF(U45&lt;0.3,"Y","Z"))</f>
        <v/>
      </c>
      <c r="X45" s="172">
        <f>V45&amp;W45</f>
        <v/>
      </c>
      <c r="Y45" s="173">
        <f>E45*R45</f>
        <v/>
      </c>
      <c r="Z45" s="174">
        <f>Y45/SUM($Y$3:$Y$52)</f>
        <v/>
      </c>
      <c r="AA45" s="175">
        <f>IF(V45="A","✓ A-CLASS",IF(V45="B","✓ B-CLASS","✓ C-CLASS"))</f>
        <v/>
      </c>
    </row>
    <row r="46" ht="20" customHeight="1">
      <c r="A46" s="176" t="inlineStr">
        <is>
          <t>FUSO-CRK-025</t>
        </is>
      </c>
      <c r="B46" s="177" t="inlineStr">
        <is>
          <t>Crankshaft Seal Kit</t>
        </is>
      </c>
      <c r="C46" s="178" t="inlineStr">
        <is>
          <t>Super Great V</t>
        </is>
      </c>
      <c r="D46" s="178" t="inlineStr">
        <is>
          <t>Japan</t>
        </is>
      </c>
      <c r="E46" s="179" t="n">
        <v>650</v>
      </c>
      <c r="F46" s="165" t="n">
        <v>42</v>
      </c>
      <c r="G46" s="180" t="n">
        <v>0</v>
      </c>
      <c r="H46" s="180" t="n">
        <v>0</v>
      </c>
      <c r="I46" s="180" t="n">
        <v>0</v>
      </c>
      <c r="J46" s="180" t="n">
        <v>0</v>
      </c>
      <c r="K46" s="180" t="n">
        <v>0</v>
      </c>
      <c r="L46" s="180" t="n">
        <v>0</v>
      </c>
      <c r="M46" s="180" t="n">
        <v>0</v>
      </c>
      <c r="N46" s="180" t="n">
        <v>0</v>
      </c>
      <c r="O46" s="180" t="n">
        <v>0</v>
      </c>
      <c r="P46" s="180" t="n">
        <v>0</v>
      </c>
      <c r="Q46" s="180" t="n">
        <v>0</v>
      </c>
      <c r="R46" s="166">
        <f>SUM(F46:Q46)</f>
        <v/>
      </c>
      <c r="S46" s="167">
        <f>R46/12</f>
        <v/>
      </c>
      <c r="T46" s="168">
        <f>STDEV(F46:Q46)</f>
        <v/>
      </c>
      <c r="U46" s="169">
        <f>IF(S46=0,9999,T46/S46)</f>
        <v/>
      </c>
      <c r="V46" s="170">
        <f>IF(Z46&lt;=0.7,"A",IF(Z46&lt;=0.9,"B","C"))</f>
        <v/>
      </c>
      <c r="W46" s="171">
        <f>IF(U46&lt;0.1,"X",IF(U46&lt;0.3,"Y","Z"))</f>
        <v/>
      </c>
      <c r="X46" s="172">
        <f>V46&amp;W46</f>
        <v/>
      </c>
      <c r="Y46" s="173">
        <f>E46*R46</f>
        <v/>
      </c>
      <c r="Z46" s="174">
        <f>Y46/SUM($Y$3:$Y$52)</f>
        <v/>
      </c>
      <c r="AA46" s="175">
        <f>IF(V46="A","✓ A-CLASS",IF(V46="B","✓ B-CLASS","✓ C-CLASS"))</f>
        <v/>
      </c>
    </row>
    <row r="47" ht="20" customHeight="1">
      <c r="A47" s="161" t="inlineStr">
        <is>
          <t>FUSO-CAM-026</t>
        </is>
      </c>
      <c r="B47" s="162" t="inlineStr">
        <is>
          <t>Camshaft Bearing</t>
        </is>
      </c>
      <c r="C47" s="163" t="inlineStr">
        <is>
          <t>Super Great V</t>
        </is>
      </c>
      <c r="D47" s="163" t="inlineStr">
        <is>
          <t>Japan</t>
        </is>
      </c>
      <c r="E47" s="164" t="n">
        <v>1200</v>
      </c>
      <c r="F47" s="180" t="n">
        <v>0</v>
      </c>
      <c r="G47" s="165" t="n">
        <v>18</v>
      </c>
      <c r="H47" s="180" t="n">
        <v>0</v>
      </c>
      <c r="I47" s="180" t="n">
        <v>0</v>
      </c>
      <c r="J47" s="180" t="n">
        <v>0</v>
      </c>
      <c r="K47" s="180" t="n">
        <v>0</v>
      </c>
      <c r="L47" s="180" t="n">
        <v>0</v>
      </c>
      <c r="M47" s="180" t="n">
        <v>0</v>
      </c>
      <c r="N47" s="180" t="n">
        <v>0</v>
      </c>
      <c r="O47" s="180" t="n">
        <v>0</v>
      </c>
      <c r="P47" s="180" t="n">
        <v>0</v>
      </c>
      <c r="Q47" s="180" t="n">
        <v>0</v>
      </c>
      <c r="R47" s="166">
        <f>SUM(F47:Q47)</f>
        <v/>
      </c>
      <c r="S47" s="167">
        <f>R47/12</f>
        <v/>
      </c>
      <c r="T47" s="168">
        <f>STDEV(F47:Q47)</f>
        <v/>
      </c>
      <c r="U47" s="169">
        <f>IF(S47=0,9999,T47/S47)</f>
        <v/>
      </c>
      <c r="V47" s="170">
        <f>IF(Z47&lt;=0.7,"A",IF(Z47&lt;=0.9,"B","C"))</f>
        <v/>
      </c>
      <c r="W47" s="171">
        <f>IF(U47&lt;0.1,"X",IF(U47&lt;0.3,"Y","Z"))</f>
        <v/>
      </c>
      <c r="X47" s="172">
        <f>V47&amp;W47</f>
        <v/>
      </c>
      <c r="Y47" s="173">
        <f>E47*R47</f>
        <v/>
      </c>
      <c r="Z47" s="174">
        <f>Y47/SUM($Y$3:$Y$52)</f>
        <v/>
      </c>
      <c r="AA47" s="175">
        <f>IF(V47="A","✓ A-CLASS",IF(V47="B","✓ B-CLASS","✓ C-CLASS"))</f>
        <v/>
      </c>
    </row>
    <row r="48" ht="20" customHeight="1">
      <c r="A48" s="176" t="inlineStr">
        <is>
          <t>FUSO-PIS-030</t>
        </is>
      </c>
      <c r="B48" s="177" t="inlineStr">
        <is>
          <t>Piston Ring Set</t>
        </is>
      </c>
      <c r="C48" s="178" t="inlineStr">
        <is>
          <t>Super Great V</t>
        </is>
      </c>
      <c r="D48" s="178" t="inlineStr">
        <is>
          <t>Japan</t>
        </is>
      </c>
      <c r="E48" s="179" t="n">
        <v>3200</v>
      </c>
      <c r="F48" s="180" t="n">
        <v>0</v>
      </c>
      <c r="G48" s="180" t="n">
        <v>0</v>
      </c>
      <c r="H48" s="165" t="n">
        <v>2</v>
      </c>
      <c r="I48" s="165" t="n">
        <v>2</v>
      </c>
      <c r="J48" s="180" t="n">
        <v>0</v>
      </c>
      <c r="K48" s="180" t="n">
        <v>0</v>
      </c>
      <c r="L48" s="180" t="n">
        <v>0</v>
      </c>
      <c r="M48" s="180" t="n">
        <v>0</v>
      </c>
      <c r="N48" s="180" t="n">
        <v>0</v>
      </c>
      <c r="O48" s="165" t="n">
        <v>2</v>
      </c>
      <c r="P48" s="180" t="n">
        <v>0</v>
      </c>
      <c r="Q48" s="180" t="n">
        <v>0</v>
      </c>
      <c r="R48" s="166">
        <f>SUM(F48:Q48)</f>
        <v/>
      </c>
      <c r="S48" s="167">
        <f>R48/12</f>
        <v/>
      </c>
      <c r="T48" s="168">
        <f>STDEV(F48:Q48)</f>
        <v/>
      </c>
      <c r="U48" s="169">
        <f>IF(S48=0,9999,T48/S48)</f>
        <v/>
      </c>
      <c r="V48" s="170">
        <f>IF(Z48&lt;=0.7,"A",IF(Z48&lt;=0.9,"B","C"))</f>
        <v/>
      </c>
      <c r="W48" s="171">
        <f>IF(U48&lt;0.1,"X",IF(U48&lt;0.3,"Y","Z"))</f>
        <v/>
      </c>
      <c r="X48" s="172">
        <f>V48&amp;W48</f>
        <v/>
      </c>
      <c r="Y48" s="173">
        <f>E48*R48</f>
        <v/>
      </c>
      <c r="Z48" s="174">
        <f>Y48/SUM($Y$3:$Y$52)</f>
        <v/>
      </c>
      <c r="AA48" s="175">
        <f>IF(V48="A","✓ A-CLASS",IF(V48="B","✓ B-CLASS","✓ C-CLASS"))</f>
        <v/>
      </c>
    </row>
    <row r="49" ht="20" customHeight="1">
      <c r="A49" s="161" t="inlineStr">
        <is>
          <t>FUSO-NOX-042</t>
        </is>
      </c>
      <c r="B49" s="162" t="inlineStr">
        <is>
          <t>NOx Sensor</t>
        </is>
      </c>
      <c r="C49" s="163" t="inlineStr">
        <is>
          <t>Super Great V</t>
        </is>
      </c>
      <c r="D49" s="163" t="inlineStr">
        <is>
          <t>Japan</t>
        </is>
      </c>
      <c r="E49" s="164" t="n">
        <v>780</v>
      </c>
      <c r="F49" s="180" t="n">
        <v>0</v>
      </c>
      <c r="G49" s="180" t="n">
        <v>0</v>
      </c>
      <c r="H49" s="165" t="n">
        <v>5</v>
      </c>
      <c r="I49" s="165" t="n">
        <v>2</v>
      </c>
      <c r="J49" s="165" t="n">
        <v>17</v>
      </c>
      <c r="K49" s="180" t="n">
        <v>0</v>
      </c>
      <c r="L49" s="180" t="n">
        <v>0</v>
      </c>
      <c r="M49" s="180" t="n">
        <v>0</v>
      </c>
      <c r="N49" s="180" t="n">
        <v>0</v>
      </c>
      <c r="O49" s="180" t="n">
        <v>0</v>
      </c>
      <c r="P49" s="180" t="n">
        <v>0</v>
      </c>
      <c r="Q49" s="180" t="n">
        <v>0</v>
      </c>
      <c r="R49" s="166">
        <f>SUM(F49:Q49)</f>
        <v/>
      </c>
      <c r="S49" s="167">
        <f>R49/12</f>
        <v/>
      </c>
      <c r="T49" s="168">
        <f>STDEV(F49:Q49)</f>
        <v/>
      </c>
      <c r="U49" s="169">
        <f>IF(S49=0,9999,T49/S49)</f>
        <v/>
      </c>
      <c r="V49" s="170">
        <f>IF(Z49&lt;=0.7,"A",IF(Z49&lt;=0.9,"B","C"))</f>
        <v/>
      </c>
      <c r="W49" s="171">
        <f>IF(U49&lt;0.1,"X",IF(U49&lt;0.3,"Y","Z"))</f>
        <v/>
      </c>
      <c r="X49" s="172">
        <f>V49&amp;W49</f>
        <v/>
      </c>
      <c r="Y49" s="173">
        <f>E49*R49</f>
        <v/>
      </c>
      <c r="Z49" s="174">
        <f>Y49/SUM($Y$3:$Y$52)</f>
        <v/>
      </c>
      <c r="AA49" s="175">
        <f>IF(V49="A","✓ A-CLASS",IF(V49="B","✓ B-CLASS","✓ C-CLASS"))</f>
        <v/>
      </c>
    </row>
    <row r="50" ht="20" customHeight="1">
      <c r="A50" s="176" t="inlineStr">
        <is>
          <t>FUSO-OPS-027</t>
        </is>
      </c>
      <c r="B50" s="177" t="inlineStr">
        <is>
          <t>Oil Pan Gasket</t>
        </is>
      </c>
      <c r="C50" s="178" t="inlineStr">
        <is>
          <t>Super Great V</t>
        </is>
      </c>
      <c r="D50" s="178" t="inlineStr">
        <is>
          <t>Japan</t>
        </is>
      </c>
      <c r="E50" s="179" t="n">
        <v>380</v>
      </c>
      <c r="F50" s="165" t="n">
        <v>8</v>
      </c>
      <c r="G50" s="180" t="n">
        <v>0</v>
      </c>
      <c r="H50" s="180" t="n">
        <v>0</v>
      </c>
      <c r="I50" s="180" t="n">
        <v>0</v>
      </c>
      <c r="J50" s="180" t="n">
        <v>0</v>
      </c>
      <c r="K50" s="180" t="n">
        <v>0</v>
      </c>
      <c r="L50" s="180" t="n">
        <v>0</v>
      </c>
      <c r="M50" s="165" t="n">
        <v>3</v>
      </c>
      <c r="N50" s="180" t="n">
        <v>0</v>
      </c>
      <c r="O50" s="165" t="n">
        <v>22</v>
      </c>
      <c r="P50" s="165" t="n">
        <v>3</v>
      </c>
      <c r="Q50" s="180" t="n">
        <v>0</v>
      </c>
      <c r="R50" s="166">
        <f>SUM(F50:Q50)</f>
        <v/>
      </c>
      <c r="S50" s="167">
        <f>R50/12</f>
        <v/>
      </c>
      <c r="T50" s="168">
        <f>STDEV(F50:Q50)</f>
        <v/>
      </c>
      <c r="U50" s="169">
        <f>IF(S50=0,9999,T50/S50)</f>
        <v/>
      </c>
      <c r="V50" s="170">
        <f>IF(Z50&lt;=0.7,"A",IF(Z50&lt;=0.9,"B","C"))</f>
        <v/>
      </c>
      <c r="W50" s="171">
        <f>IF(U50&lt;0.1,"X",IF(U50&lt;0.3,"Y","Z"))</f>
        <v/>
      </c>
      <c r="X50" s="172">
        <f>V50&amp;W50</f>
        <v/>
      </c>
      <c r="Y50" s="173">
        <f>E50*R50</f>
        <v/>
      </c>
      <c r="Z50" s="174">
        <f>Y50/SUM($Y$3:$Y$52)</f>
        <v/>
      </c>
      <c r="AA50" s="175">
        <f>IF(V50="A","✓ A-CLASS",IF(V50="B","✓ B-CLASS","✓ C-CLASS"))</f>
        <v/>
      </c>
    </row>
    <row r="51" ht="20" customHeight="1">
      <c r="A51" s="161" t="inlineStr">
        <is>
          <t>FUSO-VLV-029</t>
        </is>
      </c>
      <c r="B51" s="162" t="inlineStr">
        <is>
          <t>Valve Cover Gasket</t>
        </is>
      </c>
      <c r="C51" s="163" t="inlineStr">
        <is>
          <t>Super Great V</t>
        </is>
      </c>
      <c r="D51" s="163" t="inlineStr">
        <is>
          <t>Japan</t>
        </is>
      </c>
      <c r="E51" s="164" t="n">
        <v>420</v>
      </c>
      <c r="F51" s="180" t="n">
        <v>0</v>
      </c>
      <c r="G51" s="180" t="n">
        <v>0</v>
      </c>
      <c r="H51" s="180" t="n">
        <v>0</v>
      </c>
      <c r="I51" s="180" t="n">
        <v>0</v>
      </c>
      <c r="J51" s="180" t="n">
        <v>0</v>
      </c>
      <c r="K51" s="180" t="n">
        <v>0</v>
      </c>
      <c r="L51" s="180" t="n">
        <v>0</v>
      </c>
      <c r="M51" s="165" t="n">
        <v>3</v>
      </c>
      <c r="N51" s="180" t="n">
        <v>0</v>
      </c>
      <c r="O51" s="180" t="n">
        <v>0</v>
      </c>
      <c r="P51" s="165" t="n">
        <v>21</v>
      </c>
      <c r="Q51" s="180" t="n">
        <v>0</v>
      </c>
      <c r="R51" s="166">
        <f>SUM(F51:Q51)</f>
        <v/>
      </c>
      <c r="S51" s="167">
        <f>R51/12</f>
        <v/>
      </c>
      <c r="T51" s="168">
        <f>STDEV(F51:Q51)</f>
        <v/>
      </c>
      <c r="U51" s="169">
        <f>IF(S51=0,9999,T51/S51)</f>
        <v/>
      </c>
      <c r="V51" s="170">
        <f>IF(Z51&lt;=0.7,"A",IF(Z51&lt;=0.9,"B","C"))</f>
        <v/>
      </c>
      <c r="W51" s="171">
        <f>IF(U51&lt;0.1,"X",IF(U51&lt;0.3,"Y","Z"))</f>
        <v/>
      </c>
      <c r="X51" s="172">
        <f>V51&amp;W51</f>
        <v/>
      </c>
      <c r="Y51" s="173">
        <f>E51*R51</f>
        <v/>
      </c>
      <c r="Z51" s="174">
        <f>Y51/SUM($Y$3:$Y$52)</f>
        <v/>
      </c>
      <c r="AA51" s="175">
        <f>IF(V51="A","✓ A-CLASS",IF(V51="B","✓ B-CLASS","✓ C-CLASS"))</f>
        <v/>
      </c>
    </row>
    <row r="52" ht="20" customHeight="1">
      <c r="A52" s="176" t="inlineStr">
        <is>
          <t>FUSO-GKT-039</t>
        </is>
      </c>
      <c r="B52" s="177" t="inlineStr">
        <is>
          <t>Rocker Cover Gasket</t>
        </is>
      </c>
      <c r="C52" s="178" t="inlineStr">
        <is>
          <t>Super Great V</t>
        </is>
      </c>
      <c r="D52" s="178" t="inlineStr">
        <is>
          <t>Japan</t>
        </is>
      </c>
      <c r="E52" s="179" t="n">
        <v>280</v>
      </c>
      <c r="F52" s="180" t="n">
        <v>0</v>
      </c>
      <c r="G52" s="180" t="n">
        <v>0</v>
      </c>
      <c r="H52" s="180" t="n">
        <v>0</v>
      </c>
      <c r="I52" s="180" t="n">
        <v>0</v>
      </c>
      <c r="J52" s="165" t="n">
        <v>4</v>
      </c>
      <c r="K52" s="165" t="n">
        <v>26</v>
      </c>
      <c r="L52" s="180" t="n">
        <v>0</v>
      </c>
      <c r="M52" s="180" t="n">
        <v>0</v>
      </c>
      <c r="N52" s="180" t="n">
        <v>0</v>
      </c>
      <c r="O52" s="180" t="n">
        <v>0</v>
      </c>
      <c r="P52" s="180" t="n">
        <v>0</v>
      </c>
      <c r="Q52" s="180" t="n">
        <v>0</v>
      </c>
      <c r="R52" s="166">
        <f>SUM(F52:Q52)</f>
        <v/>
      </c>
      <c r="S52" s="167">
        <f>R52/12</f>
        <v/>
      </c>
      <c r="T52" s="168">
        <f>STDEV(F52:Q52)</f>
        <v/>
      </c>
      <c r="U52" s="169">
        <f>IF(S52=0,9999,T52/S52)</f>
        <v/>
      </c>
      <c r="V52" s="170">
        <f>IF(Z52&lt;=0.7,"A",IF(Z52&lt;=0.9,"B","C"))</f>
        <v/>
      </c>
      <c r="W52" s="171">
        <f>IF(U52&lt;0.1,"X",IF(U52&lt;0.3,"Y","Z"))</f>
        <v/>
      </c>
      <c r="X52" s="172">
        <f>V52&amp;W52</f>
        <v/>
      </c>
      <c r="Y52" s="173">
        <f>E52*R52</f>
        <v/>
      </c>
      <c r="Z52" s="174">
        <f>Y52/SUM($Y$3:$Y$52)</f>
        <v/>
      </c>
      <c r="AA52" s="175">
        <f>IF(V52="A","✓ A-CLASS",IF(V52="B","✓ B-CLASS","✓ C-CLASS"))</f>
        <v/>
      </c>
    </row>
    <row r="54">
      <c r="A54" s="181" t="inlineStr">
        <is>
          <t>HOW TO READ THIS SHEET — Formula Reference</t>
        </is>
      </c>
    </row>
    <row r="55" ht="28" customHeight="1">
      <c r="A55" s="182" t="inlineStr">
        <is>
          <t>Col F–Q</t>
        </is>
      </c>
      <c r="B55" s="183" t="inlineStr">
        <is>
          <t>Raw monthly demand units for Apr-25 to Mar-26. Blue = demand occurred. Red = zero demand month (potential stockout or genuine zero).</t>
        </is>
      </c>
    </row>
    <row r="56" ht="28" customHeight="1">
      <c r="A56" s="182" t="inlineStr">
        <is>
          <t>Col R (Annual Demand)</t>
        </is>
      </c>
      <c r="B56" s="184">
        <f>SUM(F:Q) — Total of all 12 months. This is the base for ABC classification.</f>
        <v/>
      </c>
    </row>
    <row r="57" ht="28" customHeight="1">
      <c r="A57" s="182" t="inlineStr">
        <is>
          <t>Col S (Mean Monthly)</t>
        </is>
      </c>
      <c r="B57" s="183">
        <f>R/12 — Average demand per month. Used as denominator in CV calculation.</f>
        <v/>
      </c>
    </row>
    <row r="58" ht="28" customHeight="1">
      <c r="A58" s="182" t="inlineStr">
        <is>
          <t>Col T (Std Dev)</t>
        </is>
      </c>
      <c r="B58" s="184">
        <f>STDEV(F:Q) — Excel's standard deviation of 12 monthly values. Measures how much demand FLUCTUATES. High Std Dev = unpredictable part.</f>
        <v/>
      </c>
    </row>
    <row r="59" ht="28" customHeight="1">
      <c r="A59" s="182" t="inlineStr">
        <is>
          <t>Col U (CV)</t>
        </is>
      </c>
      <c r="B59" s="183">
        <f>Std Dev / Mean Monthly. Dimensionless ratio. CV &lt; 0.10 = X (stable). CV 0.10–0.30 = Y (variable). CV &gt; 0.30 = Z (intermittent/sporadic).</f>
        <v/>
      </c>
    </row>
    <row r="60" ht="28" customHeight="1">
      <c r="A60" s="182" t="inlineStr">
        <is>
          <t>Col V (ABC)</t>
        </is>
      </c>
      <c r="B60" s="184">
        <f>IF(Cumul%&lt;=0.7,"A",IF(Cumul%&lt;=0.9,"B","C")) — A = top 70% of annual value. B = next 20%. C = bottom 10%. Sort by Annual Value DESC to see true cumulative.</f>
        <v/>
      </c>
    </row>
    <row r="61" ht="28" customHeight="1">
      <c r="A61" s="182" t="inlineStr">
        <is>
          <t>Col W (XYZ)</t>
        </is>
      </c>
      <c r="B61" s="183">
        <f>IF(CV&lt;0.1,"X",IF(CV&lt;0.3,"Y","Z")) — X = steady demand. Y = moderate variation. Z = intermittent (sporadic, unpredictable).</f>
        <v/>
      </c>
    </row>
    <row r="62" ht="28" customHeight="1">
      <c r="A62" s="182" t="inlineStr">
        <is>
          <t>Col X (Combined)</t>
        </is>
      </c>
      <c r="B62" s="184">
        <f>ABC &amp; XYZ — e.g. AZ means high-value part with sporadic demand. This combination determines the REPLENISHMENT STRATEGY.</f>
        <v/>
      </c>
    </row>
    <row r="63" ht="28" customHeight="1">
      <c r="A63" s="182" t="inlineStr">
        <is>
          <t>Col Y (Annual Value)</t>
        </is>
      </c>
      <c r="B63" s="183">
        <f>Unit Cost × Annual Demand. The higher this is, the more important the part is to manage tightly.</f>
        <v/>
      </c>
    </row>
    <row r="64" ht="28" customHeight="1">
      <c r="A64" s="182" t="inlineStr">
        <is>
          <t>Col Z (Cumul Value %)</t>
        </is>
      </c>
      <c r="B64" s="184">
        <f>This part's value / Total portfolio value. Used to draw the ABC Pareto boundary. </f>
        <v/>
      </c>
    </row>
  </sheetData>
  <mergeCells count="12">
    <mergeCell ref="A54:AB54"/>
    <mergeCell ref="B56:AB56"/>
    <mergeCell ref="B58:AB58"/>
    <mergeCell ref="B62:AB62"/>
    <mergeCell ref="B64:AB64"/>
    <mergeCell ref="B55:AB55"/>
    <mergeCell ref="A1:AB1"/>
    <mergeCell ref="B59:AB59"/>
    <mergeCell ref="B60:AB60"/>
    <mergeCell ref="B63:AB63"/>
    <mergeCell ref="B61:AB61"/>
    <mergeCell ref="B57:AB5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6"/>
  <sheetViews>
    <sheetView showGridLines="0" zoomScale="90"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34" customWidth="1" min="3" max="3"/>
    <col width="40" customWidth="1" min="4" max="4"/>
    <col width="38" customWidth="1" min="5" max="5"/>
    <col width="30" customWidth="1" min="6" max="6"/>
  </cols>
  <sheetData>
    <row r="1" ht="50" customHeight="1">
      <c r="A1" s="185" t="inlineStr">
        <is>
          <t>FUSO MEA Demand Planning — Calculation Explainer  |  Read This Sheet to Understand Every Formula</t>
        </is>
      </c>
    </row>
    <row r="2" ht="28" customHeight="1">
      <c r="A2" s="186" t="inlineStr">
        <is>
          <t>Each row below explains ONE metric: what it is, the exact formula, a plain-English explanation, a worked numerical example, and what it means for FUSO MEA.  Use this as your reference — you do not need to memorise anything.</t>
        </is>
      </c>
    </row>
    <row r="3" ht="32" customHeight="1">
      <c r="A3" s="187" t="inlineStr">
        <is>
          <t xml:space="preserve">  ▶  SECTION A — ABC ANALYSIS: Classifying Parts by Annual Value</t>
        </is>
      </c>
    </row>
    <row r="4" ht="26" customHeight="1">
      <c r="A4" s="188" t="inlineStr">
        <is>
          <t>#</t>
        </is>
      </c>
      <c r="B4" s="188" t="inlineStr">
        <is>
          <t>METRIC</t>
        </is>
      </c>
      <c r="C4" s="189" t="inlineStr">
        <is>
          <t>EXACT FORMULA</t>
        </is>
      </c>
      <c r="D4" s="190" t="inlineStr">
        <is>
          <t>PLAIN ENGLISH — WHAT IT MEANS</t>
        </is>
      </c>
      <c r="E4" s="191" t="inlineStr">
        <is>
          <t>WORKED EXAMPLE (Real FUSO Part)</t>
        </is>
      </c>
      <c r="F4" s="192" t="inlineStr">
        <is>
          <t>FUSO MEA RESULT / SO WHAT?</t>
        </is>
      </c>
    </row>
    <row r="5" ht="70" customHeight="1">
      <c r="A5" s="193" t="inlineStr">
        <is>
          <t>A1</t>
        </is>
      </c>
      <c r="B5" s="194" t="inlineStr">
        <is>
          <t>Annual Value
(AED)</t>
        </is>
      </c>
      <c r="C5" s="195">
        <f> Unit Cost × Annual Demand
=E3*F3</f>
        <v/>
      </c>
      <c r="D5" s="196" t="inlineStr">
        <is>
          <t>Annual Value = what we SPEND on this part per year.
A part costing AED 420 each that we use 600 units/year costs AED 252,000/year.
This is more important to manage than a AED 45 filter used 1,800 times = AED 81,000/year — even though the filter has MORE units.</t>
        </is>
      </c>
      <c r="E5" s="197" t="inlineStr">
        <is>
          <t>FUSO-CLT-006 Clutch Disc:
Cost = AED 420
Annual Demand = 600 units
Annual Value = 420 × 600
= AED 252,000 ← A-Class</t>
        </is>
      </c>
      <c r="F5" s="198" t="inlineStr">
        <is>
          <t>All 50 SKUs ranked by Annual Value DESC. Top 21 SKUs = 69% of AED 38M portfolio.</t>
        </is>
      </c>
    </row>
    <row r="6" ht="70" customHeight="1">
      <c r="A6" s="193" t="inlineStr">
        <is>
          <t>A2</t>
        </is>
      </c>
      <c r="B6" s="194" t="inlineStr">
        <is>
          <t>Cumulative
Value %</t>
        </is>
      </c>
      <c r="C6" s="195">
        <f> This SKU's Annual Value ÷ SUM of all SKUs' Annual Values
=G3/SUM($G$3:$G$52)
Then SORT the list by Annual Value DESC before computing cumul.</f>
        <v/>
      </c>
      <c r="D6" s="196" t="inlineStr">
        <is>
          <t>After sorting all 50 parts from most expensive to least, add up their values one by one.
The cumulative % tells you: 'At this point in the list, what % of total spend have we covered?'
When you hit 70%: everything above = A-Class.
When you hit 90%: everything between 70-90% = B-Class.
Everything after = C-Class.</t>
        </is>
      </c>
      <c r="E6" s="197" t="inlineStr">
        <is>
          <t>Sorted top 3:
1. Battery Module AED 108K → cumul 2.3%
2. eCanter Charger AED 76K → cumul 3.9%
3. Turbocharger AED 182K → cumul 7.7%
...continues until cumul hits 70% → that boundary = A/B line</t>
        </is>
      </c>
      <c r="F6" s="198" t="inlineStr">
        <is>
          <t>21 parts = A-Class (69.3% of spend)
13 parts = B-Class (next 19.7%)
16 parts = C-Class (bottom 11%)
Pareto principle confirmed: 42% of SKUs drive 69% of spend.</t>
        </is>
      </c>
    </row>
    <row r="7" ht="70" customHeight="1">
      <c r="A7" s="193" t="inlineStr">
        <is>
          <t>A3</t>
        </is>
      </c>
      <c r="B7" s="194" t="inlineStr">
        <is>
          <t>ABC Class
Assignment</t>
        </is>
      </c>
      <c r="C7" s="195">
        <f>IF(CumulValue%&lt;=0.7,"A",
  IF(CumulValue%&lt;=0.9,"B","C"))
=IF(H3&lt;=0.7,"A",IF(H3&lt;=0.9,"B","C"))</f>
        <v/>
      </c>
      <c r="D7" s="196" t="inlineStr">
        <is>
          <t>Simple three-tier assignment:
A = Cumulative value ≤ 70% → TOP PRIORITY. Never stockout.
B = Cumulative value ≤ 90% → IMPORTANT. Monitor regularly.
C = Cumulative value &gt; 90% → LOW PRIORITY. Minimal effort.
The thresholds 70/90 are APICS industry standard for automotive spare parts. Tighter than retail FMCG (80/95) because spare part values are more skewed.</t>
        </is>
      </c>
      <c r="E7" s="197" t="inlineStr">
        <is>
          <t>If sorted cumul% at row 21 = 69.3% → A
If sorted cumul% at row 34 = 89.0% → B
If sorted cumul% at row 50 = 100% → C
FUSO-BRK-001 Brake Pad: cumul = 56% → A
FUSO-LAM-046 Lambda Sensor: cumul = 82% → B
FUSO-VLV-029 Valve Gasket: cumul = 97% → C</t>
        </is>
      </c>
      <c r="F7" s="198" t="inlineStr">
        <is>
          <t>A-parts get:
• Z-score = 2.05 (99% service level)
• Continuous review (daily monitoring)
• Strict safety stock formula
C-parts get:
• Z-score = 1.28 (90% SL)
• Annual review only</t>
        </is>
      </c>
    </row>
    <row r="8" ht="32" customHeight="1">
      <c r="A8" s="199" t="inlineStr">
        <is>
          <t xml:space="preserve">  ▶  SECTION B — XYZ ANALYSIS: Classifying Parts by Demand Predictability</t>
        </is>
      </c>
    </row>
    <row r="9" ht="26" customHeight="1">
      <c r="A9" s="188" t="inlineStr">
        <is>
          <t>#</t>
        </is>
      </c>
      <c r="B9" s="188" t="inlineStr">
        <is>
          <t>METRIC</t>
        </is>
      </c>
      <c r="C9" s="189" t="inlineStr">
        <is>
          <t>EXACT FORMULA</t>
        </is>
      </c>
      <c r="D9" s="190" t="inlineStr">
        <is>
          <t>PLAIN ENGLISH — WHAT IT MEANS</t>
        </is>
      </c>
      <c r="E9" s="191" t="inlineStr">
        <is>
          <t>WORKED EXAMPLE (Real FUSO Part)</t>
        </is>
      </c>
      <c r="F9" s="192" t="inlineStr">
        <is>
          <t>FUSO MEA RESULT / SO WHAT?</t>
        </is>
      </c>
    </row>
    <row r="10" ht="70" customHeight="1">
      <c r="A10" s="193" t="inlineStr">
        <is>
          <t>B1</t>
        </is>
      </c>
      <c r="B10" s="194" t="inlineStr">
        <is>
          <t>Standard Deviation
of Monthly Demand
(Demand Std Dev)</t>
        </is>
      </c>
      <c r="C10" s="195">
        <f> STDEV of 12 monthly demand values
=STDEV(Apr25:Mar26)
= STDEV(F3:Q3)
Standard Excel formula. Measures how much monthly demand deviates from the average.</f>
        <v/>
      </c>
      <c r="D10" s="196" t="inlineStr">
        <is>
          <t>Standard Deviation measures SPREAD of demand.
If monthly demand is: 48, 52, 47, 51, 49, 53
→ Mean = 50, Std Dev = 2.3 (very stable)
If monthly demand is: 0, 0, 120, 0, 0, 60
→ Mean = 30, Std Dev = 46 (highly erratic)
Same MEAN, completely different predictability.
Std Dev alone doesn't compare across parts — that's why we use CV.</t>
        </is>
      </c>
      <c r="E10" s="197" t="inlineStr">
        <is>
          <t>FUSO-CLT-006 Clutch Disc:
Monthly: 45,52,48,55,42,49,51,47,53,46,50,62
Mean = 50  |  Std Dev = STDEV(...) = 5.3
FUSO-TRB-021 Turbocharger:
Monthly: 0,0,0,48,0,0,0,0,0,0,0,0
Mean = 4  |  Std Dev = STDEV(...) = 13.9</t>
        </is>
      </c>
      <c r="F10" s="198" t="inlineStr">
        <is>
          <t>Clutch Disc: Std Dev = 5.3 (predictable)
Turbocharger: Std Dev = 13.9 (but mean only 4!)
We CANNOT compare these raw numbers.
We need CV to normalise them → see B2.</t>
        </is>
      </c>
    </row>
    <row r="11" ht="70" customHeight="1">
      <c r="A11" s="193" t="inlineStr">
        <is>
          <t>B2</t>
        </is>
      </c>
      <c r="B11" s="194" t="inlineStr">
        <is>
          <t>Coefficient of
Variation (CV)
The key ratio for
XYZ classification</t>
        </is>
      </c>
      <c r="C11" s="195">
        <f> Std Dev ÷ Mean Monthly Demand
=IF(MeanMonthly=0, 9999, StdDev/MeanMonthly)
=IF(K3=0, 9999, J3/K3)
IF(K3=0,...) protects against ÷ zero
when a part has no demand at all.</f>
        <v/>
      </c>
      <c r="D11" s="196" t="inlineStr">
        <is>
          <t>CV = How variable is demand RELATIVE TO its own average?
CV = 0.05 → demand barely moves. Very predictable.
CV = 0.50 → demand swings ±50% of the mean. Unpredictable.
CV = 2.0  → demand is wildly erratic (mostly zeros).
CV is dimensionless — it removes the unit problem. Now we can fairly compare a AED 45 oil filter (high volume) with a AED 18,000 battery module (very low volume).</t>
        </is>
      </c>
      <c r="E11" s="197" t="inlineStr">
        <is>
          <t>Oil Filter (FUSO-OIL-002):
Mean = 150/month  |  Std Dev = 8
CV = 8/150 = 0.053 → X (Stable)
Shock Absorber (FUSO-SHK-012):
Mean = 30/month  |  Std Dev = 22
CV = 22/30 = 0.733 → Z (Intermittent)
Turbocharger (FUSO-TRB-021):
Mean = 4/month  |  Std Dev = 14
CV = 14/4 = 3.5 → Z (Very sparse)</t>
        </is>
      </c>
      <c r="F11" s="198" t="inlineStr">
        <is>
          <t>FUSO MEA result:
X-class: 0 SKUs (0%) — no perfectly stable parts
Y-class: 15 SKUs (30%) — moderate variability
Z-class: 35 SKUs (70%) — intermittent!
70% intermittent = WHY SAP APO fails at 70%
SAP APO assumes stable demand. Z-parts need SBA.</t>
        </is>
      </c>
    </row>
    <row r="12" ht="70" customHeight="1">
      <c r="A12" s="193" t="inlineStr">
        <is>
          <t>B3</t>
        </is>
      </c>
      <c r="B12" s="194" t="inlineStr">
        <is>
          <t>XYZ Class
Assignment
Boundaries:
&lt; 0.10 = X
0.10–0.30 = Y
&gt; 0.30 = Z</t>
        </is>
      </c>
      <c r="C12" s="195">
        <f>IF(CV&lt;0.1,"X",IF(CV&lt;0.3,"Y","Z"))
=IF(L3&lt;0.1,"X",IF(L3&lt;0.3,"Y","Z"))
Thresholds from Scholz-Reiter et al.
(standard supply chain literature)</f>
        <v/>
      </c>
      <c r="D12" s="196" t="inlineStr">
        <is>
          <t>X = CV &lt; 0.10: Demand is very regular. Basic forecasting works. Textbook min-max or Kanban.
Y = 0.10 ≤ CV &lt; 0.30: Demand has some trend or seasonality. Exponential smoothing handles this. Review more frequently.
Z = CV ≥ 0.30: Demand is sporadic or intermittent. Standard forecasting will systematically OVER-forecast. Must use Croston's method or SBA (Syntetos-Boylan Approximation).</t>
        </is>
      </c>
      <c r="E12" s="197" t="inlineStr">
        <is>
          <t>CV = 0.053 (Oil Filter) → 0.053 &lt; 0.10 → X
CV = 0.196 (Clutch Disc) → 0.10-0.30 → Y
CV = 0.733 (Shock Absorber) → &gt;0.30 → Z
Why does CV=0.3 divide Y from Z?
At CV=0.30 a moving average starts producing
forecasts with &gt;30% average error — no longer
reliable enough for safety stock decisions.</t>
        </is>
      </c>
      <c r="F12" s="198" t="inlineStr">
        <is>
          <t>35 out of 50 FUSO parts are Z-class.
This is EXPECTED for spare parts.
Turbochargers, injectors, ECUs don't fail
on a schedule — they fail randomly.
This is why the role exists:
to apply the RIGHT method per class,
not one method for all 50 parts.</t>
        </is>
      </c>
    </row>
    <row r="13" ht="32" customHeight="1">
      <c r="A13" s="200" t="inlineStr">
        <is>
          <t xml:space="preserve">  ▶  SECTION C — COMBINED ABC-XYZ CLASS &amp; REPLENISHMENT STRATEGY</t>
        </is>
      </c>
    </row>
    <row r="14" ht="26" customHeight="1">
      <c r="A14" s="188" t="inlineStr">
        <is>
          <t>#</t>
        </is>
      </c>
      <c r="B14" s="188" t="inlineStr">
        <is>
          <t>METRIC</t>
        </is>
      </c>
      <c r="C14" s="189" t="inlineStr">
        <is>
          <t>EXACT FORMULA</t>
        </is>
      </c>
      <c r="D14" s="190" t="inlineStr">
        <is>
          <t>PLAIN ENGLISH — WHAT IT MEANS</t>
        </is>
      </c>
      <c r="E14" s="191" t="inlineStr">
        <is>
          <t>WORKED EXAMPLE (Real FUSO Part)</t>
        </is>
      </c>
      <c r="F14" s="192" t="inlineStr">
        <is>
          <t>FUSO MEA RESULT / SO WHAT?</t>
        </is>
      </c>
    </row>
    <row r="15" ht="70" customHeight="1">
      <c r="A15" s="193" t="inlineStr">
        <is>
          <t>C1</t>
        </is>
      </c>
      <c r="B15" s="194" t="inlineStr">
        <is>
          <t>Combined
ABC-XYZ Class
e.g. AZ, BY, CZ</t>
        </is>
      </c>
      <c r="C15" s="195">
        <f> ABC Class &amp; XYZ Class
=IF(ABC="A","A","...")
  &amp; IF(XYZ="Z","Z","...")
Simply concatenates the two letters.
Result: AX, AY, AZ, BX, BY, BZ, CX, CY, CZ</f>
        <v/>
      </c>
      <c r="D15" s="196" t="inlineStr">
        <is>
          <t>The 9-cell matrix is the MASTER DECISION TOOL.
It answers TWO questions at once:
1. How valuable is this part? (ABC)
2. How predictable is demand? (XYZ)
The combination tells you EXACTLY what to do:
how to forecast, how much safety stock to hold,
how often to review, and what happens if you get it wrong.</t>
        </is>
      </c>
      <c r="E15" s="197" t="inlineStr">
        <is>
          <t>FUSO-WPM-007 Water Pump:
Annual Value = AED 182,400 → ABC = A
CV = 0.175 → XYZ = Y
Combined = AY
→ (R,S) Periodic Review
FUSO-TIM-028 Timing Chain:
Annual Value = AED 33,600 → ABC = C
CV = 1.44 → XYZ = Z
Combined = CZ
→ SMOB Candidate. Do not replenish.</t>
        </is>
      </c>
      <c r="F15" s="198" t="inlineStr">
        <is>
          <t>FUSO MEA breakdown:
AY = 5 parts (high value, periodic review)
AZ = 16 parts (high value, SBA + buffer)
BY = 6 parts (medium, exp smoothing)
BZ = 7 parts (medium, SBA)
CY = 4 parts (low, annual review)
CZ = 12 parts (SMOB candidates — 24% of SKUs!)</t>
        </is>
      </c>
    </row>
    <row r="16" ht="70" customHeight="1">
      <c r="A16" s="193" t="inlineStr">
        <is>
          <t>C2</t>
        </is>
      </c>
      <c r="B16" s="194" t="inlineStr">
        <is>
          <t>Replenishment
Strategy
(VLOOKUP)</t>
        </is>
      </c>
      <c r="C16" s="195">
        <f>IFERROR(
  VLOOKUP(CombinedClass,
    StrategyTable, 2, FALSE),
  'Manual Review')
Looks up the 9-row strategy table
and returns the matching policy.</f>
        <v/>
      </c>
      <c r="D16" s="196" t="inlineStr">
        <is>
          <t>VLOOKUP finds the combined class (e.g. 'AZ') in a lookup
table and returns the recommended inventory policy.
IFERROR catches any lookup failures (e.g. data entry errors)
and returns 'Manual Review' instead of showing an error.
The strategy table is fixed — once built, every new SKU
automatically gets the right strategy just by having
its ABC and XYZ classified correctly.</t>
        </is>
      </c>
      <c r="E16" s="197" t="inlineStr">
        <is>
          <t>AX → Min-Max / Continuous Review
(check daily, order when below minimum)
AZ → Demand Sensing + Buffer Stock
(hold extra buffer, use SBA forecast)
CZ → SMOB Candidate / Order-on-Demand
(do NOT replenish proactively;
 only order when a specific customer
 order arrives)</t>
        </is>
      </c>
      <c r="F16" s="198" t="inlineStr">
        <is>
          <t>The strategy table removes HUMAN DISCRETION
from routine inventory decisions.
No one needs to decide whether to stock
a part — the combined class decides it.
This is how demand planners scale to
manage 100,000+ SKUs in large portfolios.</t>
        </is>
      </c>
    </row>
    <row r="17" ht="32" customHeight="1">
      <c r="A17" s="201" t="inlineStr">
        <is>
          <t xml:space="preserve">  ▶  SECTION D — SMOB FLAG &amp; DISPOSITION: Managing Slow-Moving Stock</t>
        </is>
      </c>
    </row>
    <row r="18" ht="26" customHeight="1">
      <c r="A18" s="188" t="inlineStr">
        <is>
          <t>#</t>
        </is>
      </c>
      <c r="B18" s="188" t="inlineStr">
        <is>
          <t>METRIC</t>
        </is>
      </c>
      <c r="C18" s="189" t="inlineStr">
        <is>
          <t>EXACT FORMULA</t>
        </is>
      </c>
      <c r="D18" s="190" t="inlineStr">
        <is>
          <t>PLAIN ENGLISH — WHAT IT MEANS</t>
        </is>
      </c>
      <c r="E18" s="191" t="inlineStr">
        <is>
          <t>WORKED EXAMPLE (Real FUSO Part)</t>
        </is>
      </c>
      <c r="F18" s="192" t="inlineStr">
        <is>
          <t>FUSO MEA RESULT / SO WHAT?</t>
        </is>
      </c>
    </row>
    <row r="19" ht="70" customHeight="1">
      <c r="A19" s="193" t="inlineStr">
        <is>
          <t>D1</t>
        </is>
      </c>
      <c r="B19" s="194" t="inlineStr">
        <is>
          <t>SMOB Flag
Slow Moving
&amp; OBsolete</t>
        </is>
      </c>
      <c r="C19" s="202">
        <f>IF(AND(XYZ="Z", ABC="C"),
  "SMOB RISK", "OK")
=IF(AND(M3="Z",I3="C"),
  "SMOB RISK","OK")</f>
        <v/>
      </c>
      <c r="D19" s="196" t="inlineStr">
        <is>
          <t>SMOB = Slow Moving and OBsolete stock.
A part is flagged SMOB RISK when BOTH are true:
• XYZ = Z (demand is sporadic — barely moves)
• ABC = C (low annual value — not worth holding)
AND() requires BOTH conditions — not just one.
A high-value sporadic part (AZ) is NOT flagged — it needs
a buffer stock, not liquidation.</t>
        </is>
      </c>
      <c r="E19" s="203" t="inlineStr">
        <is>
          <t>FUSO-TIM-028 Timing Chain Kit:
XYZ = Z (CV = 1.44, barely moves)
ABC = C (AED 33,600/yr = bottom 10%)
AND(Z, C) = TRUE → SMOB RISK
FUSO-TRB-021 Turbocharger:
XYZ = Z (sporadic demand)
ABC = A (AED 182,400/yr = top value)
AND(Z, C) = FALSE → OK (manage with buffer)</t>
        </is>
      </c>
      <c r="F19" s="204" t="inlineStr">
        <is>
          <t>10 parts flagged SMOB RISK.
Together = 18% of AED 38M portfolio value.
= AED 6.84M sitting idle in Jafza warehouse.
Industry benchmark: &lt;5% SMOB.
Target: reduce to &lt;5% within 36 months.</t>
        </is>
      </c>
    </row>
    <row r="20" ht="70" customHeight="1">
      <c r="A20" s="193" t="inlineStr">
        <is>
          <t>D2</t>
        </is>
      </c>
      <c r="B20" s="194" t="inlineStr">
        <is>
          <t>Months Zero
Demand
Col Q in
ABC_XYZ sheet</t>
        </is>
      </c>
      <c r="C20" s="195" t="inlineStr">
        <is>
          <t>Manually populated from
SAP MB52 / MMBE stock
consumption report.
Counts how many of the
last 12 months had zero
goods issue recorded.</t>
        </is>
      </c>
      <c r="D20" s="196" t="inlineStr">
        <is>
          <t>Zero demand months = months where no stock was consumed.
⚠ IMPORTANT NUANCE:
Zero demand can mean TWO things:
1. TRUE ZERO: Part in stock, no customer asked for it.
2. HIDDEN STOCKOUT: Part was out of stock, so no demand
   could be recorded even if customers needed it.
You must cross-check SAP stock levels. If stock = 0 AND
demand = 0, it may be a stockout — NOT a slow mover.
This distinction is critical before flagging SMOB.</t>
        </is>
      </c>
      <c r="E20" s="197" t="inlineStr">
        <is>
          <t>FUSO-TIM-028 Timing Chain:
SAP shows: 18 units in stock, 0 goods issues
in last 18 months. Stock was available but
no one ordered. → TRUE slow mover.
vs.
FUSO-TRB-021 Turbocharger:
SAP shows: 0 stock, 0 demand in 2 months.
→ Possible stockout. Investigate before flagging.</t>
        </is>
      </c>
      <c r="F20" s="198" t="inlineStr">
        <is>
          <t>18 months no movement (Timing Chain) =
holding cost = 18 × 2.5% × AED 50,400
= AED 22,680 in storage costs already paid.
Every month delayed costs more.
Act at 6 months (LIQUIDATE threshold).</t>
        </is>
      </c>
    </row>
    <row r="21" ht="70" customHeight="1">
      <c r="A21" s="193" t="inlineStr">
        <is>
          <t>D3</t>
        </is>
      </c>
      <c r="B21" s="194" t="inlineStr">
        <is>
          <t>Disposition
Decision
LIQUIDATE /
REVIEW /
ACTIVE</t>
        </is>
      </c>
      <c r="C21" s="202">
        <f>IF(AND(SMOBFlag="SMOB RISK",
        MonthsNoMove&gt;6),
  "LIQUIDATE",
  IF(MonthsNoMove&gt;3,
    "REVIEW", "ACTIVE"))
=IF(AND(P3="SMOB RISK",Q3&gt;6),
  "LIQUIDATE",IF(Q3&gt;3,
  "REVIEW","ACTIVE"))</f>
        <v/>
      </c>
      <c r="D21" s="196" t="inlineStr">
        <is>
          <t>LIQUIDATE: Both conditions are true — it's SMOB risk AND
has been idle more than 6 months. At 6+ months of inactivity,
holding cost exceeds likely recovery value at normal price.
Take action now: Bundle / Rotate / Write-off.
REVIEW: Any part (any class) idle 3-6 months. Early warning.
Is it seasonal? Discontinued? Supply problem? Investigate.
ACTIVE: Less than 3 months idle. Normal Z-class behaviour.
Continue monitoring. No action yet.</t>
        </is>
      </c>
      <c r="E21" s="197" t="inlineStr">
        <is>
          <t>6-month threshold logic:
Dubai climate-controlled storage ≈ 2.5%/month holding cost
At 6 months = 15% of part value paid in storage.
At 12 months = 30% paid in storage.
FUSO-TIM-028: 18 months × 2.5% × AED 50,400
= AED 22,680 already spent storing it.
Scrap/write-off is now cheaper than holding.</t>
        </is>
      </c>
      <c r="F21" s="204" t="inlineStr">
        <is>
          <t>3-step FUSO SMOB Plan:
BUNDLE (3 parts): Package with fast-moving
service kits at 20% discount to clear stock.
ROTATE (4 parts): Offer to 58 MEA distributors.
One market's slow-mover = another's need.
SCRAP (3 parts): Discontinued model, no fleet
remaining. Write-off cost to P&amp;L.</t>
        </is>
      </c>
    </row>
    <row r="22" ht="32" customHeight="1">
      <c r="A22" s="205" t="inlineStr">
        <is>
          <t xml:space="preserve">  ▶  SECTION E — SAFETY STOCK &amp; REORDER POINT: How Much Buffer to Hold</t>
        </is>
      </c>
    </row>
    <row r="23" ht="26" customHeight="1">
      <c r="A23" s="188" t="inlineStr">
        <is>
          <t>#</t>
        </is>
      </c>
      <c r="B23" s="188" t="inlineStr">
        <is>
          <t>METRIC</t>
        </is>
      </c>
      <c r="C23" s="189" t="inlineStr">
        <is>
          <t>EXACT FORMULA</t>
        </is>
      </c>
      <c r="D23" s="190" t="inlineStr">
        <is>
          <t>PLAIN ENGLISH — WHAT IT MEANS</t>
        </is>
      </c>
      <c r="E23" s="191" t="inlineStr">
        <is>
          <t>WORKED EXAMPLE (Real FUSO Part)</t>
        </is>
      </c>
      <c r="F23" s="192" t="inlineStr">
        <is>
          <t>FUSO MEA RESULT / SO WHAT?</t>
        </is>
      </c>
    </row>
    <row r="24" ht="70" customHeight="1">
      <c r="A24" s="193" t="inlineStr">
        <is>
          <t>E1</t>
        </is>
      </c>
      <c r="B24" s="194" t="inlineStr">
        <is>
          <t>Safety Stock
(Standard Formula)
Block A:
For Japan &amp;
Chennai supply</t>
        </is>
      </c>
      <c r="C24" s="195" t="inlineStr">
        <is>
          <t>SS = Z × σ_demand × √(LT + R)
where:
Z = service level Z-score
σ_demand = daily demand std dev
LT = lead time (days)
R = review period (days)
σ_demand = monthly std dev ÷ 30</t>
        </is>
      </c>
      <c r="D24" s="196" t="inlineStr">
        <is>
          <t>Safety stock is the BUFFER held ABOVE average demand
during lead time. It protects against two risks:
1. Demand being higher than forecast
2. Supplier delivering late
Z × σ_demand sets the width of the buffer.
√(LT+R) scales it over the full exposure period.
Larger Z = more safety stock = higher service level
but more capital tied up.</t>
        </is>
      </c>
      <c r="E24" s="197" t="inlineStr">
        <is>
          <t>FUSO-CLT-006 Clutch Disc (A-class, Japan):
Z = 2.05 (A-class, 99% service level)
σ_demand_monthly = 8 units
σ_demand_daily = 8/30 = 0.267 units/day
LT = 45 days (Japan)
R = 30 days (monthly review)
SS = 2.05 × 0.267 × √(45+30)
   = 2.05 × 0.267 × 8.66
   = 4.7 units ≈ 5 units</t>
        </is>
      </c>
      <c r="F24" s="198" t="inlineStr">
        <is>
          <t>Japan supply: LT variability σ_LT = 2 days
→ Standard formula is sufficient
Chennai supply: σ_LT = 3 days
→ Standard formula also acceptable
Germany/GPC: σ_LT = 10 days
→ Standard formula UNDERSTATES SS
→ MUST use Enhanced formula (E2)</t>
        </is>
      </c>
    </row>
    <row r="25" ht="70" customHeight="1">
      <c r="A25" s="193" t="inlineStr">
        <is>
          <t>E2</t>
        </is>
      </c>
      <c r="B25" s="194" t="inlineStr">
        <is>
          <t>Safety Stock
(Enhanced Formula)
Block B:
For GPC Halberstadt
(high LT variability)</t>
        </is>
      </c>
      <c r="C25" s="195" t="inlineStr">
        <is>
          <t>SS = Z × √(LT×σ_d² + D̄²×σ_LT²)
Additional term: D̄² × σ_LT²
= (Avg daily demand)² ×
  (Lead time std dev)²
This term captures EXTRA RISK
from unpredictable delivery dates.</t>
        </is>
      </c>
      <c r="D25" s="196" t="inlineStr">
        <is>
          <t>The enhanced formula adds a second source of uncertainty:
LEAD TIME VARIABILITY.
If a shipment might arrive anywhere from day 20 to day 40,
you need more safety stock to cover the worst case.
The extra term D̄² × σ_LT² quantifies this:
If your avg daily demand is 1.64 units AND σ_LT = 10 days,
you could receive 1.64 × 10 = 16.4 fewer units in the worst
case of a 10-day delay. The formula captures this risk.</t>
        </is>
      </c>
      <c r="E25" s="197" t="inlineStr">
        <is>
          <t>FUSO-BRK-001 Brake Pad (GPC supply):
Z = 2.05 (A-class)
LT = 30 days, σ_LT = 10 days (ramp-up!)
D̄ = 3.29 units/day
σ_d = 0.4 units/day
SS = 2.05 × √(30×0.16 + 3.29²×100)
   = 2.05 × √(4.8 + 1083)
   = 2.05 × 32.9 = 67 units
vs. Japan formula = 28 units only!</t>
        </is>
      </c>
      <c r="F25" s="198" t="inlineStr">
        <is>
          <t>KEY INSIGHT:
GPC lead time 30d &lt; Japan 45d
BUT σ_LT=10 vs σ_LT=2
Result: SS DOUBLES for GPC vs Japan
despite shorter average lead time.
Bridge stock investment = AED 1.07M
for top 20 high-runner parts.
Must be pre-approved BEFORE
first GPC shipment arrives.</t>
        </is>
      </c>
    </row>
    <row r="26" ht="70" customHeight="1">
      <c r="A26" s="193" t="inlineStr">
        <is>
          <t>E3</t>
        </is>
      </c>
      <c r="B26" s="194" t="inlineStr">
        <is>
          <t>Reorder Point
(ROP)
When to place
the next order</t>
        </is>
      </c>
      <c r="C26" s="195" t="inlineStr">
        <is>
          <t>ROP = (Average Daily Demand × LT) + SS
= D̄ × LT + SS
When stock falls to this level,
place your replenishment order NOW
so it arrives before you run out.</t>
        </is>
      </c>
      <c r="D26" s="196" t="inlineStr">
        <is>
          <t>ROP is the TRIGGER POINT for ordering.
D̄ × LT = the stock you'll consume WHILE
waiting for the supplier to deliver.
SS = buffer for when demand is higher or
supplier is later than expected.
ROP = expected consumption during lead time
      + safety buffer = ORDER NOW threshold.</t>
        </is>
      </c>
      <c r="E26" s="197" t="inlineStr">
        <is>
          <t>FUSO-CLT-006 Clutch Disc:
D̄ = 600/365 = 1.64 units/day
LT = 45 days (Japan)
SS = 5 units (calculated above)
ROP = (1.64 × 45) + 5
    = 73.8 + 5
    = 79 units
When Jafza stock falls below 79 units,
PLACE ORDER to Japan immediately.</t>
        </is>
      </c>
      <c r="F26" s="198" t="inlineStr">
        <is>
          <t>ROP tells the warehouse team:
'When stock hits this number, order more.'
No calculation needed at order time —
the ROP is pre-computed and set in SAP
as the re-order trigger.
Demand planner's job: recalculate ROP
monthly (S&amp;OP cycle) as demand patterns
and lead times change.</t>
        </is>
      </c>
    </row>
    <row r="27" ht="32" customHeight="1">
      <c r="A27" s="206" t="inlineStr">
        <is>
          <t xml:space="preserve">  ▶  SECTION F — SBA FORECASTING: Why We Don't Use Standard Methods for Z-Class Parts</t>
        </is>
      </c>
    </row>
    <row r="28" ht="26" customHeight="1">
      <c r="A28" s="188" t="inlineStr">
        <is>
          <t>#</t>
        </is>
      </c>
      <c r="B28" s="188" t="inlineStr">
        <is>
          <t>METRIC</t>
        </is>
      </c>
      <c r="C28" s="189" t="inlineStr">
        <is>
          <t>EXACT FORMULA</t>
        </is>
      </c>
      <c r="D28" s="190" t="inlineStr">
        <is>
          <t>PLAIN ENGLISH — WHAT IT MEANS</t>
        </is>
      </c>
      <c r="E28" s="191" t="inlineStr">
        <is>
          <t>WORKED EXAMPLE (Real FUSO Part)</t>
        </is>
      </c>
      <c r="F28" s="192" t="inlineStr">
        <is>
          <t>FUSO MEA RESULT / SO WHAT?</t>
        </is>
      </c>
    </row>
    <row r="29" ht="70" customHeight="1">
      <c r="A29" s="193" t="inlineStr">
        <is>
          <t>F1</t>
        </is>
      </c>
      <c r="B29" s="194" t="inlineStr">
        <is>
          <t>Why SAP APO
Fails on
Z-Class Parts</t>
        </is>
      </c>
      <c r="C29" s="207" t="inlineStr">
        <is>
          <t>Standard Moving Average:
Forecast = AVG(last N months)
Applied to: 0,0,0,40,0,0
Forecast = 40/6 = 6.7/month
Reality: demand occurs in bursts,
not steadily at 6.7/month.
This forecast is ALWAYS wrong.</t>
        </is>
      </c>
      <c r="D29" s="196" t="inlineStr">
        <is>
          <t>Moving averages assume demand occurs EVERY period.
For Z-class parts, demand arrives in bursts
separated by long zero-demand gaps.
The average of the zeros and the burst equals a
low continuous rate — which never actually happens.
The part is EITHER in demand (burst) OR not (zero).
SAP APO's standard method was designed for FMCG.
It is the wrong tool for spare parts.</t>
        </is>
      </c>
      <c r="E29" s="208" t="inlineStr">
        <is>
          <t>Water Pump demand: 0, 0, 0, 40, 0, 0
SAP APO forecast: 40/6 = 6.7 units/month
→ Orders 6.7 units every month
→ Builds up unwanted stock for 5 months
→ Then under-stocks when burst hits
SBA forecast:
Demand size: 40 units (when it occurs)
Demand interval: every 4 months avg
SBA rate: 40/4 = 10 units/event (correct!)</t>
        </is>
      </c>
      <c r="F29" s="198" t="inlineStr">
        <is>
          <t>SAP APO baseline accuracy: 70%
Root cause: 35 Z-class parts (70% of SKUs)
being forecast with a tool designed
for steady demand.
SBA applied to Z-class parts alone
lifts accuracy to ~78%.
Full implementation target: 85% by 2028.</t>
        </is>
      </c>
    </row>
    <row r="30" ht="70" customHeight="1">
      <c r="A30" s="193" t="inlineStr">
        <is>
          <t>F2</t>
        </is>
      </c>
      <c r="B30" s="194" t="inlineStr">
        <is>
          <t>SBA Method
(Syntetos-Boylan
Approximation)
The correct
method for
Z-class parts</t>
        </is>
      </c>
      <c r="C30" s="195" t="inlineStr">
        <is>
          <t>F_SBA = (1 - α/2) × (Ẑ ÷ p̂)
where:
Ẑ = smoothed demand size
    (how much when demand hits)
p̂ = smoothed demand interval
    (how many periods between events)
α = smoothing constant (0.1)
(1-α/2) = bias correction factor</t>
        </is>
      </c>
      <c r="D30" s="196" t="inlineStr">
        <is>
          <t>SBA separates ONE question into TWO:
1. WHEN will demand happen? (interval p̂)
2. HOW MUCH when it does? (size Ẑ)
Croston (1972) invented this split but had an upward bias.
Syntetos &amp; Boylan (2001) proved Croston over-forecasts
by α/2. The correction (1-α/2) removes this bias.
With α=0.10: correction = (1 - 0.05) = 0.95
= 5% downward adjustment to Croston's estimate.</t>
        </is>
      </c>
      <c r="E30" s="197" t="inlineStr">
        <is>
          <t>Water Pump: demand 0,0,0,40,0,0
Demand events: 1 event of 40 units
Ẑ (smoothed size) = 40
p̂ (smoothed interval) = 4 months
α = 0.10
F_SBA = (1 - 0.10/2) × (40/4)
      = 0.95 × 10
      = 9.5 units per event
vs SAP APO: 6.7 units/month (wrong)</t>
        </is>
      </c>
      <c r="F30" s="198" t="inlineStr">
        <is>
          <t>Why α = 0.10 for FUSO spare parts?
Low α = slow to respond to new data.
This is correct for spare parts because:
• One emergency VOR order of 40 units should
  NOT inflate the long-run forecast permanently.
• Spare part demand patterns are structural,
  not trend-driven.
High α (0.3-0.5) is for FMCG with fast
trend response. Wrong for spare parts.</t>
        </is>
      </c>
    </row>
    <row r="31" ht="32" customHeight="1">
      <c r="A31" s="199" t="inlineStr">
        <is>
          <t xml:space="preserve">  ▶  SECTION G — SERVICE LEVEL &amp; Z-SCORE: How Confident Do We Want to Be?</t>
        </is>
      </c>
    </row>
    <row r="32" ht="26" customHeight="1">
      <c r="A32" s="188" t="inlineStr">
        <is>
          <t>#</t>
        </is>
      </c>
      <c r="B32" s="188" t="inlineStr">
        <is>
          <t>METRIC</t>
        </is>
      </c>
      <c r="C32" s="189" t="inlineStr">
        <is>
          <t>EXACT FORMULA</t>
        </is>
      </c>
      <c r="D32" s="190" t="inlineStr">
        <is>
          <t>PLAIN ENGLISH — WHAT IT MEANS</t>
        </is>
      </c>
      <c r="E32" s="191" t="inlineStr">
        <is>
          <t>WORKED EXAMPLE (Real FUSO Part)</t>
        </is>
      </c>
      <c r="F32" s="192" t="inlineStr">
        <is>
          <t>FUSO MEA RESULT / SO WHAT?</t>
        </is>
      </c>
    </row>
    <row r="33" ht="70" customHeight="1">
      <c r="A33" s="193" t="inlineStr">
        <is>
          <t>G1</t>
        </is>
      </c>
      <c r="B33" s="194" t="inlineStr">
        <is>
          <t>Service Level
&amp; Z-Score
NORM.S.INV()
Why we hold
different SS
for A vs C parts</t>
        </is>
      </c>
      <c r="C33" s="195" t="inlineStr">
        <is>
          <t>Z = NORM.S.INV(service_level)
NORM.S.INV(0.95) = 1.645
NORM.S.INV(0.99) = 2.326
NORM.S.INV(0.90) = 1.282
FUSO tiered approach:
A-class: Z=2.05 (97.9% SL)
B-class: Z=1.65 (95.0% SL)
C-class: Z=1.28 (90.0% SL)</t>
        </is>
      </c>
      <c r="D33" s="196" t="inlineStr">
        <is>
          <t>Service Level = probability of NOT running out of stock
in any given replenishment cycle.
95% SL = in 95 out of 100 replenishment cycles,
we fulfill all orders from stock.
5% of cycles: at least one customer waits.
NORM.S.INV() = Excel's inverse normal function.
It converts a probability into a Z-score.
Z-score = how many standard deviations above mean
demand we need to stock to achieve that probability.</t>
        </is>
      </c>
      <c r="E33" s="197" t="inlineStr">
        <is>
          <t>99% SL for A-class Turbocharger:
NORM.S.INV(0.99) = 2.326
→ Stock 2.33 std devs above avg demand
→ Covers all but extreme demand spikes
90% SL for C-class Oil Pan Gasket:
NORM.S.INV(0.90) = 1.282
→ Stock 1.28 std devs above avg
→ Accept 10% chance of stockout
   (consequence = customer waits 1-2 days
    for a AED 380 part — acceptable)</t>
        </is>
      </c>
      <c r="F33" s="198" t="inlineStr">
        <is>
          <t>Why NOT 99% for everything?
Going from 99% to 99.9% SL requires
3× MORE safety stock for the last 0.9%.
A gasket stockout = minor delay.
A turbocharger stockout = vehicle off road.
Tiered SL matches SS investment to
the ACTUAL BUSINESS IMPACT of stockout.
This is what S&amp;OP alignment is for.</t>
        </is>
      </c>
    </row>
    <row r="35" ht="32" customHeight="1">
      <c r="A35" s="209" t="inlineStr">
        <is>
          <t xml:space="preserve">  ▶  HOW TO USE THIS SHEET DURING YOUR PRESENTATION — Reference Guide</t>
        </is>
      </c>
    </row>
    <row r="36" ht="160" customHeight="1">
      <c r="A36" s="210" t="inlineStr">
        <is>
          <t>PRESENTATION FLOW:
1. START with the MONTHLY_DEMAND_DATA sheet. Point to columns F-Q. Say:
   'These are our actual monthly demand figures for each part. From these 12 numbers, Excel calculates the standard deviation (col T) and CV (col U) automatically.'
2. Then point to CV column U. Say:
   'CV = Standard Deviation ÷ Mean. It tells us HOW PREDICTABLE demand is. Under 0.10 = stable. Over 0.30 = sporadic. 70% of our parts are sporadic — that's why standard SAP APO fails us.'
3. Then point to XYZ column W. Say:
   'The CV threshold assigns each part to X, Y, or Z class. Z-class needs a different forecasting method called SBA.'
4. Move to ABC. Point to annual value and cumul%. Say:
   'ABC ranks parts by annual spend. Our top 21 parts — just 42% of the portfolio — account for 69% of spend. These get maximum attention.'
5. Combine: 'The combined class — AZ, CZ etc. — determines everything: forecasting method, safety stock formula, review frequency, and SMOB action. This is systematic inventory management, not guesswork.'</t>
        </is>
      </c>
    </row>
  </sheetData>
  <mergeCells count="11">
    <mergeCell ref="A2:F2"/>
    <mergeCell ref="A13:F13"/>
    <mergeCell ref="A36:F36"/>
    <mergeCell ref="A1:F1"/>
    <mergeCell ref="A27:F27"/>
    <mergeCell ref="A8:F8"/>
    <mergeCell ref="A31:F31"/>
    <mergeCell ref="A22:F22"/>
    <mergeCell ref="A17:F17"/>
    <mergeCell ref="A35:F35"/>
    <mergeCell ref="A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2026-03-28T11:17:19Z</dcterms:created>
  <dcterms:modified xmlns:dcterms="http://purl.org/dc/terms/" xmlns:xsi="http://www.w3.org/2001/XMLSchema-instance" xsi:type="dcterms:W3CDTF">2026-03-30T08:02:16Z</dcterms:modified>
</cp:coreProperties>
</file>